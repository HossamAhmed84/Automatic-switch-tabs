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Ex3.xml" ContentType="application/vnd.ms-office.chartex+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Ex4.xml" ContentType="application/vnd.ms-office.chartex+xml"/>
  <Override PartName="/xl/charts/style5.xml" ContentType="application/vnd.ms-office.chartstyle+xml"/>
  <Override PartName="/xl/charts/colors5.xml" ContentType="application/vnd.ms-office.chartcolorstyle+xml"/>
  <Override PartName="/xl/theme/themeOverride4.xml" ContentType="application/vnd.openxmlformats-officedocument.themeOverride+xml"/>
  <Override PartName="/xl/drawings/drawing3.xml" ContentType="application/vnd.openxmlformats-officedocument.drawing+xml"/>
  <Override PartName="/xl/ctrlProps/ctrlProp7.xml" ContentType="application/vnd.ms-excel.controlproperties+xml"/>
  <Override PartName="/xl/charts/chart2.xml" ContentType="application/vnd.openxmlformats-officedocument.drawingml.chart+xml"/>
  <Override PartName="/xl/theme/themeOverride5.xml" ContentType="application/vnd.openxmlformats-officedocument.themeOverrid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7.xml" ContentType="application/vnd.openxmlformats-officedocument.themeOverride+xml"/>
  <Override PartName="/xl/drawings/drawing4.xml" ContentType="application/vnd.openxmlformats-officedocument.drawing+xml"/>
  <Override PartName="/xl/ctrlProps/ctrlProp8.xml" ContentType="application/vnd.ms-excel.controlproperties+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8.xml" ContentType="application/vnd.openxmlformats-officedocument.themeOverrid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9.xml" ContentType="application/vnd.openxmlformats-officedocument.themeOverrid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10.xml" ContentType="application/vnd.openxmlformats-officedocument.themeOverride+xml"/>
  <Override PartName="/xl/drawings/drawing5.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11.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m.shalaby\OneDrive - SIG\SES+ Revolution\Daily Report Re-design\"/>
    </mc:Choice>
  </mc:AlternateContent>
  <xr:revisionPtr revIDLastSave="0" documentId="8_{F57D8C62-5D48-4627-B30A-6EEF574ABA2E}" xr6:coauthVersionLast="34" xr6:coauthVersionMax="34" xr10:uidLastSave="{00000000-0000-0000-0000-000000000000}"/>
  <bookViews>
    <workbookView xWindow="0" yWindow="0" windowWidth="15200" windowHeight="6930" xr2:uid="{9B419C22-1AE4-4049-ADFD-4076C3DDDC5B}"/>
  </bookViews>
  <sheets>
    <sheet name="Company" sheetId="7" r:id="rId1"/>
    <sheet name="Overall" sheetId="6" r:id="rId2"/>
    <sheet name="Page#1" sheetId="1" r:id="rId3"/>
    <sheet name="Page#2" sheetId="4" r:id="rId4"/>
    <sheet name="Overall Graphs" sheetId="8" r:id="rId5"/>
    <sheet name="Utilization" sheetId="2" r:id="rId6"/>
    <sheet name="Hourly Graph and Eff" sheetId="3" r:id="rId7"/>
  </sheets>
  <externalReferences>
    <externalReference r:id="rId8"/>
    <externalReference r:id="rId9"/>
    <externalReference r:id="rId10"/>
  </externalReferences>
  <definedNames>
    <definedName name="_xlchart.v1.0" hidden="1">'Overall Graphs'!$C$15:$C$19</definedName>
    <definedName name="_xlchart.v1.1" hidden="1">'Overall Graphs'!$D$15:$D$19</definedName>
    <definedName name="_xlchart.v1.10" hidden="1">Overall!$AA$16:$AA$22</definedName>
    <definedName name="_xlchart.v1.11" hidden="1">Overall!$AB$16:$AB$22</definedName>
    <definedName name="_xlchart.v1.12" hidden="1">'Overall Graphs'!$G$15:$G$19</definedName>
    <definedName name="_xlchart.v1.13" hidden="1">'Overall Graphs'!$G$15:$G$20</definedName>
    <definedName name="_xlchart.v1.14" hidden="1">'Overall Graphs'!$H$15:$H$20</definedName>
    <definedName name="_xlchart.v1.15" hidden="1">'[1]Total Tech'!$O$33:$O$72</definedName>
    <definedName name="_xlchart.v1.16" hidden="1">'[1]Total Tech'!$Q$33:$Q$72</definedName>
    <definedName name="_xlchart.v1.17" hidden="1">'Overall Graphs'!$K$15:$K$20</definedName>
    <definedName name="_xlchart.v1.18" hidden="1">'Overall Graphs'!$L$15:$L$20</definedName>
    <definedName name="_xlchart.v1.19" hidden="1">'[1]Total Tech'!$AB$33:$AB$72</definedName>
    <definedName name="_xlchart.v1.2" hidden="1">'[1]Total Tech'!$B$33:$B$72</definedName>
    <definedName name="_xlchart.v1.20" hidden="1">'[1]Total Tech'!$AD$33:$AD$72</definedName>
    <definedName name="_xlchart.v1.21" hidden="1">'Overall Graphs'!$G$15:$G$19</definedName>
    <definedName name="_xlchart.v1.22" hidden="1">'Overall Graphs'!$G$15:$G$20</definedName>
    <definedName name="_xlchart.v1.23" hidden="1">'Overall Graphs'!$H$15:$H$20</definedName>
    <definedName name="_xlchart.v1.24" hidden="1">'[1]Total Tech'!$O$33:$O$72</definedName>
    <definedName name="_xlchart.v1.25" hidden="1">'[1]Total Tech'!$Q$33:$Q$72</definedName>
    <definedName name="_xlchart.v1.3" hidden="1">'[1]Total Tech'!$D$33:$D$72</definedName>
    <definedName name="_xlchart.v1.4" hidden="1">Overall!$AA$18:$AA$22</definedName>
    <definedName name="_xlchart.v1.5" hidden="1">Overall!$AB$18:$AB$22</definedName>
    <definedName name="_xlchart.v1.6" hidden="1">'Overall Graphs'!$C$6:$C$12</definedName>
    <definedName name="_xlchart.v1.7" hidden="1">'Overall Graphs'!$D$6:$D$12</definedName>
    <definedName name="_xlchart.v1.8" hidden="1">'[1]Total Tech'!$B$15:$B$29</definedName>
    <definedName name="_xlchart.v1.9" hidden="1">'[1]Total Tech'!$D$15:$D$29</definedName>
    <definedName name="CompanyLogo">Company!$D$11</definedName>
    <definedName name="CompanyName">Company!$D$6</definedName>
    <definedName name="DateEnvoi">#REF!</definedName>
    <definedName name="DateRapport" localSheetId="1">Overall!$J$8</definedName>
    <definedName name="Entete">#REF!</definedName>
    <definedName name="IUJ">#REF!</definedName>
    <definedName name="JoursRestants" localSheetId="1">Overall!#REF!</definedName>
    <definedName name="ListeAction" localSheetId="1">Overall!#REF!</definedName>
    <definedName name="ListeActions" localSheetId="1">Overall!#REF!</definedName>
    <definedName name="ListeDelai" localSheetId="1">Overall!#REF!</definedName>
    <definedName name="ListeDestinataires">OFFSET(#REF!,0,0,COUNTA(#REF!))</definedName>
    <definedName name="ListeNoms">#REF!</definedName>
    <definedName name="ListeObjectifs" localSheetId="1">Overall!#REF!</definedName>
    <definedName name="ListeProjets" localSheetId="1">Overall!#REF!</definedName>
    <definedName name="ListeQui" localSheetId="1">Overall!#REF!</definedName>
    <definedName name="ListeReste" localSheetId="1">Overall!#REF!</definedName>
    <definedName name="ListeReste">#REF!</definedName>
    <definedName name="Présence" localSheetId="1">Overall!#REF!,Overall!#REF!,Overall!#REF!,Overall!#REF!</definedName>
    <definedName name="Respect" localSheetId="1">Overall!#REF!</definedName>
    <definedName name="Réunion" localSheetId="1">Overall!$G$8</definedName>
    <definedName name="Stranding_1430">'[2]$f$5'!$R$6</definedName>
    <definedName name="wrn.Synthesis." localSheetId="0" hidden="1">{"Area 1-5",#N/A,FALSE,"Synthesis";"Area 6-8",#N/A,FALSE,"Synthesis"}</definedName>
    <definedName name="wrn.Synthesis." localSheetId="1" hidden="1">{"Area 1-5",#N/A,FALSE,"Synthesis";"Area 6-8",#N/A,FALSE,"Synthesis"}</definedName>
    <definedName name="wrn.Synthesis." hidden="1">{"Area 1-5",#N/A,FALSE,"Synthesis";"Area 6-8",#N/A,FALSE,"Synthesis"}</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46" i="6" l="1"/>
  <c r="T45" i="6"/>
  <c r="T44" i="6"/>
  <c r="T43" i="6"/>
  <c r="T42" i="6"/>
  <c r="T41" i="6"/>
  <c r="T40" i="6"/>
  <c r="T39" i="6"/>
  <c r="T38" i="6"/>
  <c r="T37" i="6"/>
  <c r="T36" i="6"/>
  <c r="T35" i="6"/>
  <c r="T34" i="6"/>
  <c r="T33" i="6"/>
  <c r="T32" i="6"/>
  <c r="C2" i="6" l="1"/>
  <c r="F19" i="3" l="1"/>
  <c r="F20" i="2"/>
</calcChain>
</file>

<file path=xl/sharedStrings.xml><?xml version="1.0" encoding="utf-8"?>
<sst xmlns="http://schemas.openxmlformats.org/spreadsheetml/2006/main" count="351" uniqueCount="137">
  <si>
    <t xml:space="preserve">Changeover </t>
  </si>
  <si>
    <t xml:space="preserve">Mico Downtime </t>
  </si>
  <si>
    <t>Setup</t>
  </si>
  <si>
    <t>CIP</t>
  </si>
  <si>
    <t xml:space="preserve">Planned Downtime </t>
  </si>
  <si>
    <t>SIP</t>
  </si>
  <si>
    <t>Downtime</t>
  </si>
  <si>
    <t xml:space="preserve">Planned Maintenance </t>
  </si>
  <si>
    <t>starvation/Accumulation</t>
  </si>
  <si>
    <t>Ideletime</t>
  </si>
  <si>
    <t>PLC Comm FAILURE</t>
  </si>
  <si>
    <t xml:space="preserve">Unknown </t>
  </si>
  <si>
    <t xml:space="preserve">Manual Runtime </t>
  </si>
  <si>
    <t xml:space="preserve">Runtime </t>
  </si>
  <si>
    <t>Line#1</t>
  </si>
  <si>
    <t xml:space="preserve">Reason </t>
  </si>
  <si>
    <t>Line#2</t>
  </si>
  <si>
    <t>Line#3</t>
  </si>
  <si>
    <t>Line#4</t>
  </si>
  <si>
    <t>Line#5</t>
  </si>
  <si>
    <t>hr</t>
  </si>
  <si>
    <t>Time</t>
  </si>
  <si>
    <t>Action</t>
  </si>
  <si>
    <t>Who</t>
  </si>
  <si>
    <t>When</t>
  </si>
  <si>
    <t xml:space="preserve">      Filters </t>
  </si>
  <si>
    <t xml:space="preserve">      Time Period :</t>
  </si>
  <si>
    <t xml:space="preserve">      Filter :</t>
  </si>
  <si>
    <t xml:space="preserve">      Equipment : </t>
  </si>
  <si>
    <t>All</t>
  </si>
  <si>
    <t>Filler 312-1092, Buffer 1617, CAP 1331, Tray 1717</t>
  </si>
  <si>
    <r>
      <t xml:space="preserve">Shift: </t>
    </r>
    <r>
      <rPr>
        <sz val="11"/>
        <color rgb="FF283376"/>
        <rFont val="Calibri"/>
        <family val="2"/>
        <scheme val="minor"/>
      </rPr>
      <t>All - 24hrs</t>
    </r>
  </si>
  <si>
    <r>
      <t xml:space="preserve">Week#: </t>
    </r>
    <r>
      <rPr>
        <sz val="11"/>
        <color rgb="FF283376"/>
        <rFont val="Calibri"/>
        <family val="2"/>
        <scheme val="minor"/>
      </rPr>
      <t>29</t>
    </r>
  </si>
  <si>
    <t>KAI =</t>
  </si>
  <si>
    <t>Départ</t>
  </si>
  <si>
    <t>Target %</t>
  </si>
  <si>
    <t>Avg. %</t>
  </si>
  <si>
    <t>Hourly Graph</t>
  </si>
  <si>
    <t>Eff Graph</t>
  </si>
  <si>
    <t>Utlization Graph</t>
  </si>
  <si>
    <t>Top 10 Reasons</t>
  </si>
  <si>
    <t>Glue nozzles</t>
  </si>
  <si>
    <t>Clean folding device (bad material , skewed box)</t>
  </si>
  <si>
    <t>Tray packer fault</t>
  </si>
  <si>
    <t>Open flaps</t>
  </si>
  <si>
    <t>Adjusting box shape</t>
  </si>
  <si>
    <t>Blank Transport</t>
  </si>
  <si>
    <t>Blank magazine main drive fault</t>
  </si>
  <si>
    <t>Suction caps</t>
  </si>
  <si>
    <t>Waiting for Palletizer/main conveyor</t>
  </si>
  <si>
    <t>PLC C`omm FAILURE</t>
  </si>
  <si>
    <t xml:space="preserve">CIP </t>
  </si>
  <si>
    <t xml:space="preserve">Top 10 Reasons by Duration </t>
  </si>
  <si>
    <t xml:space="preserve">Top 10 Reasons by Count </t>
  </si>
  <si>
    <t>Planned Downtime Duration</t>
  </si>
  <si>
    <t xml:space="preserve">Runtime Duration </t>
  </si>
  <si>
    <t xml:space="preserve">Downtime Duration </t>
  </si>
  <si>
    <t xml:space="preserve"> </t>
  </si>
  <si>
    <t>Eff Report # :</t>
  </si>
  <si>
    <t>A01</t>
  </si>
  <si>
    <t>Topic:</t>
  </si>
  <si>
    <t>Start :</t>
  </si>
  <si>
    <t>To be used with the losses top contributor</t>
  </si>
  <si>
    <t>End :</t>
  </si>
  <si>
    <t>To be used with the weeks OTIF above 80%</t>
  </si>
  <si>
    <t>Method:</t>
  </si>
  <si>
    <t>Lines:</t>
  </si>
  <si>
    <t>G, X, M, R &amp; V</t>
  </si>
  <si>
    <t>1.  Losses deployment across all technologies /min</t>
  </si>
  <si>
    <t>2. Top contributor per each technology /min</t>
  </si>
  <si>
    <t>Company</t>
  </si>
  <si>
    <t>Name &amp; logo</t>
  </si>
  <si>
    <t>Name</t>
  </si>
  <si>
    <t>Lactalis SA</t>
  </si>
  <si>
    <t>Company logo</t>
  </si>
  <si>
    <t>A blank rectangle is hidden for centering the logo</t>
  </si>
  <si>
    <t>Overall Plant Performance</t>
  </si>
  <si>
    <t xml:space="preserve"> Excellence+ Data Deployment</t>
  </si>
  <si>
    <t>Total/Average</t>
  </si>
  <si>
    <t>OEE</t>
  </si>
  <si>
    <t>Technical Efficiency</t>
  </si>
  <si>
    <t xml:space="preserve">Total Efficiency </t>
  </si>
  <si>
    <t xml:space="preserve">TEEP </t>
  </si>
  <si>
    <t xml:space="preserve">Line# 1 </t>
  </si>
  <si>
    <t>Line# 2</t>
  </si>
  <si>
    <t>Line# 3</t>
  </si>
  <si>
    <t>Line# 4</t>
  </si>
  <si>
    <t>Line# 5</t>
  </si>
  <si>
    <t>Line# 6</t>
  </si>
  <si>
    <t>Line# 7</t>
  </si>
  <si>
    <t xml:space="preserve">Sleeve Waste </t>
  </si>
  <si>
    <t xml:space="preserve">MUV </t>
  </si>
  <si>
    <t xml:space="preserve">Product Waste </t>
  </si>
  <si>
    <t xml:space="preserve">Produced Carton </t>
  </si>
  <si>
    <t xml:space="preserve">Produced Cartons </t>
  </si>
  <si>
    <t>%</t>
  </si>
  <si>
    <t xml:space="preserve">Liter </t>
  </si>
  <si>
    <t>Unti</t>
  </si>
  <si>
    <t xml:space="preserve">Total Operating Time </t>
  </si>
  <si>
    <t xml:space="preserve">Production Duration </t>
  </si>
  <si>
    <t xml:space="preserve">Quality time </t>
  </si>
  <si>
    <t xml:space="preserve">Usage Rate </t>
  </si>
  <si>
    <t>hrs</t>
  </si>
  <si>
    <t xml:space="preserve">hrs </t>
  </si>
  <si>
    <t xml:space="preserve">Availability </t>
  </si>
  <si>
    <t xml:space="preserve">Performance </t>
  </si>
  <si>
    <t xml:space="preserve">Quality  </t>
  </si>
  <si>
    <t xml:space="preserve"> MTD </t>
  </si>
  <si>
    <t xml:space="preserve"> Last Month </t>
  </si>
  <si>
    <t>3. Overall Performance Indicators</t>
  </si>
  <si>
    <t xml:space="preserve">YTD </t>
  </si>
  <si>
    <t>Lactalis SA Daily Overall Performance Report</t>
  </si>
  <si>
    <t>DT Min</t>
  </si>
  <si>
    <t xml:space="preserve">Processing </t>
  </si>
  <si>
    <t xml:space="preserve">Filler </t>
  </si>
  <si>
    <t xml:space="preserve">Conveyor </t>
  </si>
  <si>
    <t>Cap</t>
  </si>
  <si>
    <t>Tray</t>
  </si>
  <si>
    <t xml:space="preserve">Utility </t>
  </si>
  <si>
    <t xml:space="preserve">Palletizer </t>
  </si>
  <si>
    <t>Top#1</t>
  </si>
  <si>
    <t>Top#2</t>
  </si>
  <si>
    <t>Top#3</t>
  </si>
  <si>
    <t xml:space="preserve">FLEX </t>
  </si>
  <si>
    <t xml:space="preserve">VTIS </t>
  </si>
  <si>
    <t>ONE STEP</t>
  </si>
  <si>
    <t xml:space="preserve">Steri tube </t>
  </si>
  <si>
    <t>Line R</t>
  </si>
  <si>
    <t>Line V</t>
  </si>
  <si>
    <t>Line M</t>
  </si>
  <si>
    <t>Line G</t>
  </si>
  <si>
    <t>Line X</t>
  </si>
  <si>
    <t xml:space="preserve">G - Manual </t>
  </si>
  <si>
    <t>R - BARCODE</t>
  </si>
  <si>
    <t xml:space="preserve">M - Manual </t>
  </si>
  <si>
    <t xml:space="preserve">V - BARCODE </t>
  </si>
  <si>
    <t xml:space="preserve">X - BARCODE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</si>
</sst>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mm;@"/>
    <numFmt numFmtId="165" formatCode="[$-F800]dddd\,\ mmmm\ dd\,\ yyyy"/>
    <numFmt numFmtId="166" formatCode="0.0%"/>
    <numFmt numFmtId="167" formatCode="#,##0.00;\-#,##0.00;&quot;-&quot;;@"/>
    <numFmt numFmtId="168" formatCode="h:mm:ss;@"/>
    <numFmt numFmtId="169" formatCode="#,##0;\-#,##0;&quot;-&quot;;@"/>
    <numFmt numFmtId="170" formatCode="ddd\ dd/mm/yy"/>
    <numFmt numFmtId="171" formatCode="mm:ss.0;@"/>
  </numFmts>
  <fonts count="35" x14ac:knownFonts="1">
    <font>
      <sz val="11"/>
      <color theme="1"/>
      <name val="Calibri"/>
      <family val="2"/>
      <scheme val="minor"/>
    </font>
    <font>
      <sz val="11"/>
      <color rgb="FFFF0000"/>
      <name val="Calibri"/>
      <family val="2"/>
      <scheme val="minor"/>
    </font>
    <font>
      <b/>
      <sz val="11"/>
      <color theme="1"/>
      <name val="Calibri"/>
      <family val="2"/>
      <scheme val="minor"/>
    </font>
    <font>
      <b/>
      <sz val="11"/>
      <color theme="0" tint="-0.34998626667073579"/>
      <name val="Calibri"/>
      <family val="2"/>
      <scheme val="minor"/>
    </font>
    <font>
      <b/>
      <sz val="14"/>
      <color theme="0" tint="-0.34998626667073579"/>
      <name val="Calibri"/>
      <family val="2"/>
      <scheme val="minor"/>
    </font>
    <font>
      <sz val="11"/>
      <color rgb="FF683334"/>
      <name val="Calibri"/>
      <family val="2"/>
      <scheme val="minor"/>
    </font>
    <font>
      <b/>
      <sz val="11"/>
      <color rgb="FF283376"/>
      <name val="Calibri"/>
      <family val="2"/>
      <scheme val="minor"/>
    </font>
    <font>
      <sz val="11"/>
      <color rgb="FF283376"/>
      <name val="Calibri"/>
      <family val="2"/>
      <scheme val="minor"/>
    </font>
    <font>
      <sz val="11"/>
      <color theme="1"/>
      <name val="Calibri"/>
      <family val="2"/>
      <scheme val="minor"/>
    </font>
    <font>
      <sz val="8"/>
      <color indexed="8"/>
      <name val="Arial"/>
      <family val="2"/>
    </font>
    <font>
      <sz val="8"/>
      <color theme="3"/>
      <name val="Arial"/>
      <family val="2"/>
    </font>
    <font>
      <b/>
      <sz val="5"/>
      <color indexed="12"/>
      <name val="arial"/>
      <family val="2"/>
    </font>
    <font>
      <b/>
      <sz val="6"/>
      <color indexed="12"/>
      <name val="arial"/>
      <family val="2"/>
    </font>
    <font>
      <sz val="8"/>
      <color theme="0" tint="-0.249977111117893"/>
      <name val="Arial"/>
      <family val="2"/>
    </font>
    <font>
      <sz val="5"/>
      <color theme="0" tint="-0.249977111117893"/>
      <name val="arial"/>
      <family val="2"/>
    </font>
    <font>
      <sz val="8"/>
      <color rgb="FF000000"/>
      <name val="Segoe UI"/>
      <family val="2"/>
    </font>
    <font>
      <sz val="8"/>
      <color theme="1"/>
      <name val="Arial"/>
      <family val="2"/>
    </font>
    <font>
      <sz val="8"/>
      <name val="Arial"/>
      <family val="2"/>
    </font>
    <font>
      <sz val="16"/>
      <color theme="5"/>
      <name val="Arial"/>
      <family val="2"/>
    </font>
    <font>
      <i/>
      <sz val="11"/>
      <color rgb="FF6A615A"/>
      <name val="Calibri"/>
      <family val="2"/>
      <scheme val="minor"/>
    </font>
    <font>
      <i/>
      <sz val="8"/>
      <color theme="9"/>
      <name val="Arial"/>
      <family val="2"/>
    </font>
    <font>
      <b/>
      <sz val="12"/>
      <color theme="1"/>
      <name val="Arial"/>
      <family val="2"/>
    </font>
    <font>
      <b/>
      <sz val="12"/>
      <color theme="5"/>
      <name val="Arial"/>
      <family val="2"/>
    </font>
    <font>
      <b/>
      <sz val="7"/>
      <color theme="1"/>
      <name val="Arial"/>
      <family val="2"/>
    </font>
    <font>
      <b/>
      <sz val="10"/>
      <color theme="3"/>
      <name val="Tahoma"/>
      <family val="2"/>
    </font>
    <font>
      <sz val="8"/>
      <color rgb="FF000000"/>
      <name val="Arial"/>
      <family val="2"/>
    </font>
    <font>
      <sz val="8"/>
      <color rgb="FFC0C0C0"/>
      <name val="Arial"/>
      <family val="2"/>
    </font>
    <font>
      <sz val="16"/>
      <color rgb="FFEF7918"/>
      <name val="Arial"/>
      <family val="2"/>
    </font>
    <font>
      <i/>
      <sz val="12"/>
      <color rgb="FF6A615A"/>
      <name val="Arial"/>
      <family val="2"/>
    </font>
    <font>
      <sz val="12"/>
      <color rgb="FF6A615A"/>
      <name val="Arial"/>
      <family val="2"/>
    </font>
    <font>
      <b/>
      <i/>
      <sz val="12"/>
      <color theme="1"/>
      <name val="Arial"/>
      <family val="2"/>
    </font>
    <font>
      <b/>
      <sz val="11"/>
      <color rgb="FF333399"/>
      <name val="Arial"/>
      <family val="2"/>
    </font>
    <font>
      <b/>
      <sz val="8"/>
      <color theme="1"/>
      <name val="Arial"/>
      <family val="2"/>
    </font>
    <font>
      <sz val="9"/>
      <color theme="1"/>
      <name val="Arial"/>
      <family val="2"/>
    </font>
    <font>
      <b/>
      <sz val="9"/>
      <color theme="1"/>
      <name val="Arial"/>
      <family val="2"/>
    </font>
  </fonts>
  <fills count="22">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rgb="FFC0C0BF"/>
        <bgColor indexed="64"/>
      </patternFill>
    </fill>
    <fill>
      <patternFill patternType="solid">
        <fgColor rgb="FFF6F19B"/>
        <bgColor indexed="64"/>
      </patternFill>
    </fill>
    <fill>
      <patternFill patternType="solid">
        <fgColor rgb="FFC98ABB"/>
        <bgColor indexed="64"/>
      </patternFill>
    </fill>
    <fill>
      <patternFill patternType="solid">
        <fgColor rgb="FFA6529B"/>
        <bgColor indexed="64"/>
      </patternFill>
    </fill>
    <fill>
      <patternFill patternType="solid">
        <fgColor rgb="FF3FC0EF"/>
        <bgColor indexed="64"/>
      </patternFill>
    </fill>
    <fill>
      <patternFill patternType="solid">
        <fgColor rgb="FFEB609F"/>
        <bgColor indexed="64"/>
      </patternFill>
    </fill>
    <fill>
      <patternFill patternType="solid">
        <fgColor rgb="FFE51C20"/>
        <bgColor indexed="64"/>
      </patternFill>
    </fill>
    <fill>
      <patternFill patternType="solid">
        <fgColor rgb="FFF39548"/>
        <bgColor indexed="64"/>
      </patternFill>
    </fill>
    <fill>
      <patternFill patternType="solid">
        <fgColor rgb="FFE9CE5C"/>
        <bgColor indexed="64"/>
      </patternFill>
    </fill>
    <fill>
      <patternFill patternType="solid">
        <fgColor rgb="FF283376"/>
        <bgColor indexed="64"/>
      </patternFill>
    </fill>
    <fill>
      <patternFill patternType="solid">
        <fgColor rgb="FF683334"/>
        <bgColor indexed="64"/>
      </patternFill>
    </fill>
    <fill>
      <patternFill patternType="solid">
        <fgColor rgb="FF67398E"/>
        <bgColor indexed="64"/>
      </patternFill>
    </fill>
    <fill>
      <patternFill patternType="solid">
        <fgColor rgb="FF99C21C"/>
        <bgColor indexed="64"/>
      </patternFill>
    </fill>
    <fill>
      <patternFill patternType="solid">
        <fgColor rgb="FF12923A"/>
        <bgColor indexed="64"/>
      </patternFill>
    </fill>
    <fill>
      <patternFill patternType="solid">
        <fgColor indexed="41"/>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rgb="FF66FF66"/>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bottom style="medium">
        <color rgb="FF8F8F8F"/>
      </bottom>
      <diagonal/>
    </border>
    <border>
      <left style="medium">
        <color theme="1"/>
      </left>
      <right style="medium">
        <color theme="1"/>
      </right>
      <top style="medium">
        <color theme="1"/>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theme="1"/>
      </left>
      <right/>
      <top/>
      <bottom/>
      <diagonal/>
    </border>
    <border>
      <left/>
      <right/>
      <top style="medium">
        <color theme="1"/>
      </top>
      <bottom style="thin">
        <color theme="1"/>
      </bottom>
      <diagonal/>
    </border>
    <border>
      <left/>
      <right/>
      <top/>
      <bottom style="medium">
        <color indexed="64"/>
      </bottom>
      <diagonal/>
    </border>
    <border>
      <left/>
      <right style="thin">
        <color indexed="64"/>
      </right>
      <top style="thin">
        <color theme="1"/>
      </top>
      <bottom/>
      <diagonal/>
    </border>
    <border>
      <left/>
      <right/>
      <top style="thin">
        <color theme="1"/>
      </top>
      <bottom/>
      <diagonal/>
    </border>
    <border>
      <left/>
      <right style="thin">
        <color indexed="64"/>
      </right>
      <top/>
      <bottom/>
      <diagonal/>
    </border>
    <border>
      <left style="thin">
        <color theme="2"/>
      </left>
      <right style="thin">
        <color theme="2"/>
      </right>
      <top style="thin">
        <color theme="2"/>
      </top>
      <bottom style="thin">
        <color theme="2"/>
      </bottom>
      <diagonal/>
    </border>
    <border>
      <left/>
      <right/>
      <top/>
      <bottom style="thin">
        <color theme="1" tint="0.249977111117893"/>
      </bottom>
      <diagonal/>
    </border>
    <border>
      <left style="thin">
        <color theme="1" tint="0.249977111117893"/>
      </left>
      <right style="thin">
        <color theme="1" tint="0.249977111117893"/>
      </right>
      <top/>
      <bottom/>
      <diagonal/>
    </border>
    <border>
      <left style="thin">
        <color theme="1" tint="0.249977111117893"/>
      </left>
      <right/>
      <top/>
      <bottom style="thin">
        <color theme="1" tint="0.249977111117893"/>
      </bottom>
      <diagonal/>
    </border>
    <border>
      <left/>
      <right/>
      <top style="thin">
        <color theme="1" tint="0.249977111117893"/>
      </top>
      <bottom/>
      <diagonal/>
    </border>
    <border>
      <left style="thin">
        <color theme="1" tint="0.249977111117893"/>
      </left>
      <right/>
      <top/>
      <bottom/>
      <diagonal/>
    </border>
    <border>
      <left style="thin">
        <color theme="1" tint="0.249977111117893"/>
      </left>
      <right/>
      <top style="thin">
        <color theme="1" tint="0.249977111117893"/>
      </top>
      <bottom/>
      <diagonal/>
    </border>
    <border>
      <left/>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s>
  <cellStyleXfs count="6">
    <xf numFmtId="0" fontId="0" fillId="0" borderId="0"/>
    <xf numFmtId="9" fontId="8" fillId="0" borderId="0" applyFont="0" applyFill="0" applyBorder="0" applyAlignment="0" applyProtection="0"/>
    <xf numFmtId="0" fontId="9" fillId="0" borderId="0"/>
    <xf numFmtId="0" fontId="16" fillId="0" borderId="0"/>
    <xf numFmtId="0" fontId="17" fillId="0" borderId="0"/>
    <xf numFmtId="9" fontId="16" fillId="0" borderId="0" applyFont="0" applyFill="0" applyBorder="0" applyAlignment="0" applyProtection="0"/>
  </cellStyleXfs>
  <cellXfs count="235">
    <xf numFmtId="0" fontId="0" fillId="0" borderId="0" xfId="0"/>
    <xf numFmtId="0" fontId="0" fillId="2" borderId="0" xfId="0" applyFill="1"/>
    <xf numFmtId="0" fontId="0" fillId="3" borderId="0" xfId="0" applyFill="1"/>
    <xf numFmtId="0" fontId="0" fillId="0" borderId="0" xfId="0" applyBorder="1"/>
    <xf numFmtId="0" fontId="0" fillId="0" borderId="1" xfId="0" applyBorder="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1" fillId="11" borderId="0" xfId="0" applyFont="1"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2" borderId="0" xfId="0" applyFill="1" applyBorder="1"/>
    <xf numFmtId="0" fontId="0" fillId="2" borderId="4" xfId="0" applyFill="1" applyBorder="1" applyAlignment="1"/>
    <xf numFmtId="0" fontId="0" fillId="2" borderId="5" xfId="0" applyFill="1" applyBorder="1" applyAlignment="1"/>
    <xf numFmtId="0" fontId="0" fillId="2" borderId="0" xfId="0" applyFill="1" applyBorder="1" applyAlignment="1"/>
    <xf numFmtId="0" fontId="0" fillId="2" borderId="0" xfId="0" applyFill="1" applyBorder="1" applyAlignment="1">
      <alignment horizontal="center"/>
    </xf>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8" borderId="2" xfId="0" applyFill="1" applyBorder="1"/>
    <xf numFmtId="0" fontId="0" fillId="9" borderId="2" xfId="0" applyFill="1" applyBorder="1"/>
    <xf numFmtId="0" fontId="0" fillId="10" borderId="2" xfId="0" applyFill="1" applyBorder="1"/>
    <xf numFmtId="0" fontId="1" fillId="11" borderId="2" xfId="0" applyFont="1" applyFill="1" applyBorder="1"/>
    <xf numFmtId="0" fontId="0" fillId="12" borderId="2" xfId="0" applyFill="1" applyBorder="1"/>
    <xf numFmtId="0" fontId="0" fillId="13" borderId="2" xfId="0" applyFill="1" applyBorder="1"/>
    <xf numFmtId="0" fontId="0" fillId="14" borderId="2" xfId="0" applyFill="1" applyBorder="1"/>
    <xf numFmtId="0" fontId="0" fillId="15" borderId="2" xfId="0" applyFill="1" applyBorder="1"/>
    <xf numFmtId="0" fontId="0" fillId="16" borderId="2" xfId="0" applyFill="1" applyBorder="1"/>
    <xf numFmtId="0" fontId="0" fillId="17" borderId="2" xfId="0" applyFill="1" applyBorder="1"/>
    <xf numFmtId="0" fontId="2" fillId="2" borderId="0" xfId="0" applyFont="1" applyFill="1" applyAlignment="1">
      <alignment horizontal="left"/>
    </xf>
    <xf numFmtId="0" fontId="2" fillId="2" borderId="6" xfId="0" applyFont="1" applyFill="1" applyBorder="1" applyAlignment="1">
      <alignment horizontal="left"/>
    </xf>
    <xf numFmtId="0" fontId="2" fillId="2" borderId="6" xfId="0" applyFont="1" applyFill="1" applyBorder="1" applyAlignment="1">
      <alignment horizontal="left"/>
    </xf>
    <xf numFmtId="0" fontId="3" fillId="2" borderId="6" xfId="0" applyFont="1" applyFill="1" applyBorder="1" applyAlignment="1">
      <alignment horizontal="left"/>
    </xf>
    <xf numFmtId="0" fontId="3" fillId="2" borderId="6" xfId="0" applyFont="1" applyFill="1" applyBorder="1" applyAlignment="1">
      <alignment horizontal="left"/>
    </xf>
    <xf numFmtId="0" fontId="3" fillId="2" borderId="6" xfId="0" applyFont="1" applyFill="1" applyBorder="1" applyAlignment="1">
      <alignment horizontal="right"/>
    </xf>
    <xf numFmtId="0" fontId="5" fillId="2" borderId="4" xfId="0" applyFont="1" applyFill="1" applyBorder="1" applyAlignment="1"/>
    <xf numFmtId="0" fontId="5" fillId="2" borderId="3" xfId="0" applyFont="1" applyFill="1" applyBorder="1" applyAlignment="1"/>
    <xf numFmtId="0" fontId="7" fillId="2" borderId="0" xfId="0" applyFont="1" applyFill="1"/>
    <xf numFmtId="0" fontId="0" fillId="2" borderId="7" xfId="0" applyFill="1" applyBorder="1"/>
    <xf numFmtId="0" fontId="0" fillId="2" borderId="8" xfId="0" applyFill="1" applyBorder="1"/>
    <xf numFmtId="0" fontId="0" fillId="2" borderId="9" xfId="0" applyFill="1" applyBorder="1"/>
    <xf numFmtId="0" fontId="0" fillId="2" borderId="10" xfId="0" applyFill="1" applyBorder="1"/>
    <xf numFmtId="0" fontId="0" fillId="2" borderId="11" xfId="0" applyFill="1" applyBorder="1"/>
    <xf numFmtId="164" fontId="4" fillId="2" borderId="10" xfId="0" applyNumberFormat="1" applyFont="1" applyFill="1" applyBorder="1" applyAlignment="1">
      <alignment horizontal="center" vertical="top"/>
    </xf>
    <xf numFmtId="164" fontId="0" fillId="2" borderId="0" xfId="0" applyNumberFormat="1" applyFill="1" applyBorder="1" applyAlignment="1"/>
    <xf numFmtId="164" fontId="4" fillId="2" borderId="0" xfId="0" applyNumberFormat="1" applyFont="1" applyFill="1" applyBorder="1" applyAlignment="1">
      <alignment horizontal="left" vertical="top"/>
    </xf>
    <xf numFmtId="0" fontId="0" fillId="2" borderId="12" xfId="0" applyFill="1" applyBorder="1"/>
    <xf numFmtId="0" fontId="0" fillId="2" borderId="13" xfId="0" applyFill="1" applyBorder="1"/>
    <xf numFmtId="0" fontId="0" fillId="2" borderId="14" xfId="0" applyFill="1" applyBorder="1"/>
    <xf numFmtId="0" fontId="0" fillId="0" borderId="0" xfId="0" applyFill="1" applyProtection="1"/>
    <xf numFmtId="0" fontId="9" fillId="0" borderId="1" xfId="2" applyBorder="1" applyProtection="1"/>
    <xf numFmtId="20" fontId="10" fillId="0" borderId="1" xfId="0" applyNumberFormat="1" applyFont="1" applyBorder="1" applyAlignment="1" applyProtection="1">
      <alignment horizontal="center" vertical="center"/>
    </xf>
    <xf numFmtId="0" fontId="10" fillId="0" borderId="1" xfId="0" applyFont="1" applyBorder="1" applyAlignment="1" applyProtection="1">
      <alignment vertical="center"/>
    </xf>
    <xf numFmtId="166" fontId="11" fillId="18" borderId="1" xfId="1" applyNumberFormat="1" applyFont="1" applyFill="1" applyBorder="1" applyAlignment="1" applyProtection="1">
      <alignment horizontal="left" vertical="center" indent="3"/>
    </xf>
    <xf numFmtId="166" fontId="12" fillId="18" borderId="1" xfId="1" applyNumberFormat="1" applyFont="1" applyFill="1" applyBorder="1" applyAlignment="1" applyProtection="1">
      <alignment horizontal="center" vertical="center"/>
      <protection locked="0"/>
    </xf>
    <xf numFmtId="0" fontId="13" fillId="0" borderId="1" xfId="0" applyFont="1" applyBorder="1" applyProtection="1"/>
    <xf numFmtId="167" fontId="14" fillId="0" borderId="1" xfId="0" applyNumberFormat="1" applyFont="1" applyBorder="1" applyProtection="1"/>
    <xf numFmtId="9" fontId="0" fillId="0" borderId="1" xfId="0" applyNumberFormat="1" applyBorder="1"/>
    <xf numFmtId="0" fontId="2" fillId="0" borderId="0" xfId="0" applyFont="1"/>
    <xf numFmtId="0" fontId="2" fillId="2" borderId="0" xfId="0" applyFont="1" applyFill="1" applyBorder="1" applyAlignment="1">
      <alignment horizontal="center" vertical="center"/>
    </xf>
    <xf numFmtId="0" fontId="2" fillId="2" borderId="0" xfId="0" applyFont="1" applyFill="1"/>
    <xf numFmtId="168" fontId="0" fillId="0" borderId="0" xfId="0" applyNumberFormat="1"/>
    <xf numFmtId="2" fontId="0" fillId="0" borderId="0" xfId="0" applyNumberFormat="1"/>
    <xf numFmtId="168" fontId="0" fillId="0" borderId="1" xfId="0" applyNumberFormat="1" applyBorder="1"/>
    <xf numFmtId="0" fontId="16" fillId="0" borderId="0" xfId="3" applyProtection="1"/>
    <xf numFmtId="0" fontId="18" fillId="0" borderId="0" xfId="4" applyFont="1" applyAlignment="1" applyProtection="1">
      <alignment horizontal="centerContinuous"/>
    </xf>
    <xf numFmtId="0" fontId="16" fillId="0" borderId="0" xfId="4" applyFont="1" applyAlignment="1" applyProtection="1">
      <alignment horizontal="centerContinuous"/>
    </xf>
    <xf numFmtId="0" fontId="0" fillId="0" borderId="0" xfId="4" applyFont="1" applyAlignment="1" applyProtection="1">
      <alignment horizontal="centerContinuous"/>
    </xf>
    <xf numFmtId="0" fontId="16" fillId="0" borderId="0" xfId="3" applyFill="1" applyProtection="1"/>
    <xf numFmtId="0" fontId="16" fillId="0" borderId="0" xfId="3" applyBorder="1" applyProtection="1"/>
    <xf numFmtId="0" fontId="19" fillId="0" borderId="24" xfId="3" applyFont="1" applyBorder="1" applyAlignment="1" applyProtection="1">
      <alignment horizontal="centerContinuous" vertical="top"/>
    </xf>
    <xf numFmtId="0" fontId="20" fillId="0" borderId="24" xfId="3" applyFont="1" applyBorder="1" applyAlignment="1" applyProtection="1">
      <alignment horizontal="right"/>
    </xf>
    <xf numFmtId="0" fontId="16" fillId="0" borderId="0" xfId="3" applyFill="1" applyBorder="1" applyProtection="1"/>
    <xf numFmtId="0" fontId="9" fillId="0" borderId="0" xfId="2" applyProtection="1"/>
    <xf numFmtId="0" fontId="9" fillId="0" borderId="0" xfId="2" applyFill="1" applyProtection="1"/>
    <xf numFmtId="0" fontId="16" fillId="19" borderId="0" xfId="2" applyFont="1" applyFill="1" applyProtection="1"/>
    <xf numFmtId="0" fontId="21" fillId="19" borderId="0" xfId="2" applyFont="1" applyFill="1" applyAlignment="1" applyProtection="1">
      <alignment horizontal="right" vertical="center" indent="1"/>
    </xf>
    <xf numFmtId="169" fontId="21" fillId="2" borderId="25" xfId="2" applyNumberFormat="1" applyFont="1" applyFill="1" applyBorder="1" applyAlignment="1" applyProtection="1">
      <alignment horizontal="centerContinuous" vertical="center" wrapText="1"/>
    </xf>
    <xf numFmtId="0" fontId="16" fillId="0" borderId="0" xfId="3"/>
    <xf numFmtId="0" fontId="21" fillId="19" borderId="0" xfId="2" applyFont="1" applyFill="1" applyAlignment="1" applyProtection="1"/>
    <xf numFmtId="170" fontId="22" fillId="19" borderId="29" xfId="2" applyNumberFormat="1" applyFont="1" applyFill="1" applyBorder="1" applyAlignment="1" applyProtection="1">
      <alignment horizontal="center" vertical="center" wrapText="1"/>
    </xf>
    <xf numFmtId="0" fontId="24" fillId="0" borderId="30" xfId="2" applyFont="1" applyBorder="1" applyAlignment="1" applyProtection="1">
      <alignment vertical="center"/>
    </xf>
    <xf numFmtId="0" fontId="9" fillId="0" borderId="30" xfId="2" applyBorder="1" applyProtection="1"/>
    <xf numFmtId="0" fontId="9" fillId="0" borderId="31" xfId="2" applyBorder="1" applyProtection="1"/>
    <xf numFmtId="0" fontId="9" fillId="0" borderId="0" xfId="2" applyBorder="1" applyProtection="1"/>
    <xf numFmtId="0" fontId="9" fillId="0" borderId="32" xfId="2" applyBorder="1" applyProtection="1"/>
    <xf numFmtId="0" fontId="9" fillId="0" borderId="33" xfId="2" applyBorder="1" applyProtection="1"/>
    <xf numFmtId="0" fontId="9" fillId="0" borderId="34" xfId="2" applyBorder="1" applyProtection="1"/>
    <xf numFmtId="0" fontId="27" fillId="2" borderId="0" xfId="3" applyFont="1" applyFill="1" applyAlignment="1">
      <alignment horizontal="centerContinuous"/>
    </xf>
    <xf numFmtId="0" fontId="16" fillId="2" borderId="0" xfId="3" applyFill="1"/>
    <xf numFmtId="0" fontId="28" fillId="2" borderId="24" xfId="3" applyFont="1" applyFill="1" applyBorder="1" applyAlignment="1">
      <alignment horizontal="centerContinuous" vertical="top"/>
    </xf>
    <xf numFmtId="0" fontId="29" fillId="2" borderId="24" xfId="3" applyFont="1" applyFill="1" applyBorder="1" applyAlignment="1">
      <alignment horizontal="centerContinuous" vertical="top"/>
    </xf>
    <xf numFmtId="0" fontId="16" fillId="2" borderId="0" xfId="3" applyFont="1" applyFill="1"/>
    <xf numFmtId="0" fontId="30" fillId="2" borderId="0" xfId="3" applyFont="1" applyFill="1"/>
    <xf numFmtId="0" fontId="31" fillId="2" borderId="35" xfId="3" applyFont="1" applyFill="1" applyBorder="1" applyAlignment="1">
      <alignment horizontal="left" vertical="center" wrapText="1"/>
    </xf>
    <xf numFmtId="0" fontId="16" fillId="2" borderId="36" xfId="3" applyFill="1" applyBorder="1"/>
    <xf numFmtId="0" fontId="16" fillId="2" borderId="37" xfId="3" applyFill="1" applyBorder="1"/>
    <xf numFmtId="0" fontId="16" fillId="2" borderId="38" xfId="3" applyFill="1" applyBorder="1"/>
    <xf numFmtId="0" fontId="16" fillId="2" borderId="39" xfId="3" applyFill="1" applyBorder="1"/>
    <xf numFmtId="0" fontId="16" fillId="2" borderId="40" xfId="3" applyFill="1" applyBorder="1"/>
    <xf numFmtId="0" fontId="16" fillId="2" borderId="41" xfId="3" applyFill="1" applyBorder="1"/>
    <xf numFmtId="0" fontId="16" fillId="3" borderId="0" xfId="3" applyFill="1" applyProtection="1"/>
    <xf numFmtId="0" fontId="16" fillId="3" borderId="0" xfId="3" applyFill="1" applyAlignment="1" applyProtection="1">
      <alignment vertical="top"/>
    </xf>
    <xf numFmtId="0" fontId="16" fillId="3" borderId="0" xfId="3" applyFill="1" applyBorder="1" applyProtection="1"/>
    <xf numFmtId="0" fontId="16" fillId="0" borderId="0" xfId="3" applyBorder="1" applyAlignment="1" applyProtection="1"/>
    <xf numFmtId="0" fontId="16" fillId="0" borderId="43" xfId="3" applyBorder="1" applyAlignment="1" applyProtection="1"/>
    <xf numFmtId="0" fontId="24" fillId="0" borderId="0" xfId="2" applyFont="1" applyBorder="1" applyAlignment="1" applyProtection="1">
      <alignment horizontal="left" vertical="center"/>
    </xf>
    <xf numFmtId="0" fontId="9" fillId="0" borderId="0" xfId="2" applyFill="1" applyBorder="1" applyProtection="1"/>
    <xf numFmtId="0" fontId="32" fillId="0" borderId="0" xfId="3" applyFont="1" applyBorder="1" applyAlignment="1" applyProtection="1"/>
    <xf numFmtId="0" fontId="16" fillId="20" borderId="43" xfId="3" applyFill="1" applyBorder="1" applyAlignment="1" applyProtection="1"/>
    <xf numFmtId="0" fontId="16" fillId="20" borderId="50" xfId="3" applyFill="1" applyBorder="1" applyAlignment="1" applyProtection="1"/>
    <xf numFmtId="0" fontId="16" fillId="0" borderId="52" xfId="3" applyBorder="1" applyAlignment="1" applyProtection="1"/>
    <xf numFmtId="0" fontId="16" fillId="20" borderId="52" xfId="3" applyFill="1" applyBorder="1" applyAlignment="1" applyProtection="1"/>
    <xf numFmtId="0" fontId="16" fillId="2" borderId="43" xfId="3" applyFill="1" applyBorder="1" applyAlignment="1" applyProtection="1"/>
    <xf numFmtId="0" fontId="33" fillId="0" borderId="0" xfId="3" applyFont="1" applyBorder="1" applyAlignment="1" applyProtection="1"/>
    <xf numFmtId="0" fontId="16" fillId="2" borderId="42" xfId="3" applyFill="1" applyBorder="1" applyAlignment="1" applyProtection="1"/>
    <xf numFmtId="0" fontId="16" fillId="2" borderId="50" xfId="3" applyFill="1" applyBorder="1" applyAlignment="1" applyProtection="1"/>
    <xf numFmtId="0" fontId="32" fillId="20" borderId="52" xfId="3" applyFont="1" applyFill="1" applyBorder="1" applyAlignment="1" applyProtection="1"/>
    <xf numFmtId="0" fontId="32" fillId="2" borderId="43" xfId="3" applyFont="1" applyFill="1" applyBorder="1" applyAlignment="1" applyProtection="1"/>
    <xf numFmtId="0" fontId="32" fillId="20" borderId="43" xfId="3" applyFont="1" applyFill="1" applyBorder="1" applyAlignment="1" applyProtection="1"/>
    <xf numFmtId="0" fontId="32" fillId="2" borderId="50" xfId="3" applyFont="1" applyFill="1" applyBorder="1" applyAlignment="1" applyProtection="1"/>
    <xf numFmtId="0" fontId="16" fillId="20" borderId="52" xfId="3" applyFont="1" applyFill="1" applyBorder="1" applyAlignment="1" applyProtection="1"/>
    <xf numFmtId="0" fontId="16" fillId="2" borderId="43" xfId="3" applyFont="1" applyFill="1" applyBorder="1" applyAlignment="1" applyProtection="1"/>
    <xf numFmtId="0" fontId="16" fillId="20" borderId="43" xfId="3" applyFont="1" applyFill="1" applyBorder="1" applyAlignment="1" applyProtection="1"/>
    <xf numFmtId="0" fontId="16" fillId="2" borderId="50" xfId="3" applyFont="1" applyFill="1" applyBorder="1" applyAlignment="1" applyProtection="1"/>
    <xf numFmtId="0" fontId="34" fillId="0" borderId="0" xfId="3" applyFont="1" applyBorder="1" applyAlignment="1" applyProtection="1"/>
    <xf numFmtId="166" fontId="16" fillId="20" borderId="50" xfId="3" applyNumberFormat="1" applyFill="1" applyBorder="1" applyAlignment="1" applyProtection="1"/>
    <xf numFmtId="166" fontId="16" fillId="2" borderId="43" xfId="3" applyNumberFormat="1" applyFill="1" applyBorder="1" applyAlignment="1" applyProtection="1"/>
    <xf numFmtId="166" fontId="16" fillId="0" borderId="52" xfId="3" applyNumberFormat="1" applyBorder="1" applyAlignment="1" applyProtection="1">
      <alignment horizontal="left"/>
    </xf>
    <xf numFmtId="166" fontId="16" fillId="20" borderId="43" xfId="3" applyNumberFormat="1" applyFill="1" applyBorder="1" applyAlignment="1" applyProtection="1">
      <alignment horizontal="left"/>
    </xf>
    <xf numFmtId="166" fontId="16" fillId="20" borderId="1" xfId="3" applyNumberFormat="1" applyFill="1" applyBorder="1" applyAlignment="1" applyProtection="1">
      <alignment horizontal="left"/>
    </xf>
    <xf numFmtId="166" fontId="16" fillId="20" borderId="44" xfId="3" applyNumberFormat="1" applyFill="1" applyBorder="1" applyAlignment="1" applyProtection="1">
      <alignment horizontal="left"/>
    </xf>
    <xf numFmtId="166" fontId="16" fillId="0" borderId="43" xfId="3" applyNumberFormat="1" applyBorder="1" applyAlignment="1" applyProtection="1">
      <alignment horizontal="left"/>
    </xf>
    <xf numFmtId="166" fontId="16" fillId="20" borderId="50" xfId="3" applyNumberFormat="1" applyFill="1" applyBorder="1" applyAlignment="1" applyProtection="1">
      <alignment horizontal="left"/>
    </xf>
    <xf numFmtId="166" fontId="16" fillId="20" borderId="52" xfId="3" applyNumberFormat="1" applyFill="1" applyBorder="1" applyAlignment="1" applyProtection="1">
      <alignment horizontal="left"/>
    </xf>
    <xf numFmtId="166" fontId="16" fillId="2" borderId="43" xfId="3" applyNumberFormat="1" applyFill="1" applyBorder="1" applyAlignment="1" applyProtection="1">
      <alignment horizontal="left"/>
    </xf>
    <xf numFmtId="166" fontId="16" fillId="2" borderId="42" xfId="3" applyNumberFormat="1" applyFill="1" applyBorder="1" applyAlignment="1" applyProtection="1">
      <alignment horizontal="left"/>
    </xf>
    <xf numFmtId="166" fontId="16" fillId="2" borderId="1" xfId="3" applyNumberFormat="1" applyFill="1" applyBorder="1" applyAlignment="1" applyProtection="1">
      <alignment horizontal="left"/>
    </xf>
    <xf numFmtId="166" fontId="16" fillId="2" borderId="44" xfId="3" applyNumberFormat="1" applyFill="1" applyBorder="1" applyAlignment="1" applyProtection="1">
      <alignment horizontal="left"/>
    </xf>
    <xf numFmtId="0" fontId="16" fillId="2" borderId="42" xfId="3" applyFill="1" applyBorder="1" applyAlignment="1" applyProtection="1">
      <alignment horizontal="left"/>
    </xf>
    <xf numFmtId="0" fontId="16" fillId="20" borderId="43" xfId="3" applyFill="1" applyBorder="1" applyAlignment="1" applyProtection="1">
      <alignment horizontal="left"/>
    </xf>
    <xf numFmtId="0" fontId="16" fillId="2" borderId="43" xfId="3" applyFill="1" applyBorder="1" applyAlignment="1" applyProtection="1">
      <alignment horizontal="left"/>
    </xf>
    <xf numFmtId="1" fontId="16" fillId="20" borderId="43" xfId="3" applyNumberFormat="1" applyFill="1" applyBorder="1" applyAlignment="1" applyProtection="1">
      <alignment horizontal="left"/>
    </xf>
    <xf numFmtId="0" fontId="16" fillId="20" borderId="1" xfId="3" applyFill="1" applyBorder="1" applyAlignment="1" applyProtection="1">
      <alignment horizontal="left"/>
    </xf>
    <xf numFmtId="0" fontId="16" fillId="20" borderId="44" xfId="3" applyFill="1" applyBorder="1" applyAlignment="1" applyProtection="1">
      <alignment horizontal="left"/>
    </xf>
    <xf numFmtId="1" fontId="16" fillId="2" borderId="50" xfId="3" applyNumberFormat="1" applyFill="1" applyBorder="1" applyAlignment="1" applyProtection="1">
      <alignment horizontal="left"/>
    </xf>
    <xf numFmtId="0" fontId="16" fillId="2" borderId="49" xfId="3" applyFill="1" applyBorder="1" applyAlignment="1" applyProtection="1">
      <alignment horizontal="left"/>
    </xf>
    <xf numFmtId="0" fontId="16" fillId="2" borderId="51" xfId="3" applyFill="1" applyBorder="1" applyAlignment="1" applyProtection="1">
      <alignment horizontal="left"/>
    </xf>
    <xf numFmtId="171" fontId="32" fillId="20" borderId="52" xfId="3" applyNumberFormat="1" applyFont="1" applyFill="1" applyBorder="1" applyAlignment="1" applyProtection="1"/>
    <xf numFmtId="171" fontId="32" fillId="2" borderId="43" xfId="3" applyNumberFormat="1" applyFont="1" applyFill="1" applyBorder="1" applyAlignment="1" applyProtection="1"/>
    <xf numFmtId="171" fontId="32" fillId="20" borderId="43" xfId="3" applyNumberFormat="1" applyFont="1" applyFill="1" applyBorder="1" applyAlignment="1" applyProtection="1"/>
    <xf numFmtId="171" fontId="32" fillId="2" borderId="50" xfId="3" applyNumberFormat="1" applyFont="1" applyFill="1" applyBorder="1" applyAlignment="1" applyProtection="1"/>
    <xf numFmtId="164" fontId="16" fillId="20" borderId="52" xfId="3" applyNumberFormat="1" applyFont="1" applyFill="1" applyBorder="1" applyAlignment="1" applyProtection="1">
      <alignment horizontal="left"/>
    </xf>
    <xf numFmtId="171" fontId="16" fillId="2" borderId="43" xfId="3" applyNumberFormat="1" applyFont="1" applyFill="1" applyBorder="1" applyAlignment="1" applyProtection="1">
      <alignment horizontal="left"/>
    </xf>
    <xf numFmtId="171" fontId="16" fillId="20" borderId="43" xfId="3" applyNumberFormat="1" applyFont="1" applyFill="1" applyBorder="1" applyAlignment="1" applyProtection="1">
      <alignment horizontal="left"/>
    </xf>
    <xf numFmtId="10" fontId="16" fillId="2" borderId="50" xfId="3" applyNumberFormat="1" applyFont="1" applyFill="1" applyBorder="1" applyAlignment="1" applyProtection="1">
      <alignment horizontal="left"/>
    </xf>
    <xf numFmtId="171" fontId="16" fillId="20" borderId="45" xfId="3" applyNumberFormat="1" applyFont="1" applyFill="1" applyBorder="1" applyAlignment="1" applyProtection="1"/>
    <xf numFmtId="171" fontId="16" fillId="20" borderId="53" xfId="3" applyNumberFormat="1" applyFont="1" applyFill="1" applyBorder="1" applyAlignment="1" applyProtection="1"/>
    <xf numFmtId="171" fontId="16" fillId="2" borderId="1" xfId="3" applyNumberFormat="1" applyFont="1" applyFill="1" applyBorder="1" applyAlignment="1" applyProtection="1"/>
    <xf numFmtId="171" fontId="16" fillId="2" borderId="44" xfId="3" applyNumberFormat="1" applyFont="1" applyFill="1" applyBorder="1" applyAlignment="1" applyProtection="1"/>
    <xf numFmtId="171" fontId="16" fillId="20" borderId="1" xfId="3" applyNumberFormat="1" applyFont="1" applyFill="1" applyBorder="1" applyAlignment="1" applyProtection="1"/>
    <xf numFmtId="171" fontId="16" fillId="20" borderId="44" xfId="3" applyNumberFormat="1" applyFont="1" applyFill="1" applyBorder="1" applyAlignment="1" applyProtection="1"/>
    <xf numFmtId="10" fontId="16" fillId="2" borderId="49" xfId="3" applyNumberFormat="1" applyFont="1" applyFill="1" applyBorder="1" applyAlignment="1" applyProtection="1"/>
    <xf numFmtId="166" fontId="16" fillId="21" borderId="52" xfId="3" applyNumberFormat="1" applyFill="1" applyBorder="1" applyAlignment="1" applyProtection="1">
      <alignment horizontal="left"/>
    </xf>
    <xf numFmtId="166" fontId="16" fillId="21" borderId="43" xfId="3" applyNumberFormat="1" applyFill="1" applyBorder="1" applyAlignment="1" applyProtection="1">
      <alignment horizontal="left"/>
    </xf>
    <xf numFmtId="166" fontId="16" fillId="21" borderId="50" xfId="3" applyNumberFormat="1" applyFill="1" applyBorder="1" applyAlignment="1" applyProtection="1">
      <alignment horizontal="left"/>
    </xf>
    <xf numFmtId="166" fontId="16" fillId="21" borderId="46" xfId="3" applyNumberFormat="1" applyFill="1" applyBorder="1" applyAlignment="1" applyProtection="1">
      <alignment horizontal="left"/>
    </xf>
    <xf numFmtId="0" fontId="32" fillId="0" borderId="55" xfId="3" applyFont="1" applyBorder="1" applyAlignment="1" applyProtection="1"/>
    <xf numFmtId="166" fontId="16" fillId="21" borderId="56" xfId="3" applyNumberFormat="1" applyFill="1" applyBorder="1" applyAlignment="1" applyProtection="1">
      <alignment horizontal="left"/>
    </xf>
    <xf numFmtId="0" fontId="32" fillId="20" borderId="57" xfId="3" applyFont="1" applyFill="1" applyBorder="1" applyAlignment="1" applyProtection="1"/>
    <xf numFmtId="166" fontId="16" fillId="21" borderId="58" xfId="3" applyNumberFormat="1" applyFill="1" applyBorder="1" applyAlignment="1" applyProtection="1">
      <alignment horizontal="left"/>
    </xf>
    <xf numFmtId="0" fontId="32" fillId="0" borderId="57" xfId="3" applyFont="1" applyBorder="1" applyAlignment="1" applyProtection="1"/>
    <xf numFmtId="0" fontId="32" fillId="20" borderId="59" xfId="3" applyFont="1" applyFill="1" applyBorder="1" applyAlignment="1" applyProtection="1"/>
    <xf numFmtId="166" fontId="16" fillId="21" borderId="60" xfId="3" applyNumberFormat="1" applyFill="1" applyBorder="1" applyAlignment="1" applyProtection="1">
      <alignment horizontal="left"/>
    </xf>
    <xf numFmtId="0" fontId="32" fillId="20" borderId="55" xfId="3" applyFont="1" applyFill="1" applyBorder="1" applyAlignment="1" applyProtection="1"/>
    <xf numFmtId="0" fontId="32" fillId="2" borderId="57" xfId="3" applyFont="1" applyFill="1" applyBorder="1" applyAlignment="1" applyProtection="1"/>
    <xf numFmtId="0" fontId="32" fillId="2" borderId="18" xfId="3" applyFont="1" applyFill="1" applyBorder="1" applyAlignment="1" applyProtection="1"/>
    <xf numFmtId="166" fontId="16" fillId="21" borderId="61" xfId="3" applyNumberFormat="1" applyFill="1" applyBorder="1" applyAlignment="1" applyProtection="1">
      <alignment horizontal="left"/>
    </xf>
    <xf numFmtId="166" fontId="16" fillId="20" borderId="58" xfId="3" applyNumberFormat="1" applyFill="1" applyBorder="1" applyAlignment="1" applyProtection="1">
      <alignment horizontal="left"/>
    </xf>
    <xf numFmtId="166" fontId="16" fillId="2" borderId="58" xfId="3" applyNumberFormat="1" applyFill="1" applyBorder="1" applyAlignment="1" applyProtection="1">
      <alignment horizontal="left"/>
    </xf>
    <xf numFmtId="0" fontId="16" fillId="20" borderId="58" xfId="3" applyFill="1" applyBorder="1" applyAlignment="1" applyProtection="1">
      <alignment horizontal="left"/>
    </xf>
    <xf numFmtId="0" fontId="32" fillId="2" borderId="59" xfId="3" applyFont="1" applyFill="1" applyBorder="1" applyAlignment="1" applyProtection="1"/>
    <xf numFmtId="0" fontId="16" fillId="2" borderId="60" xfId="3" applyFill="1" applyBorder="1" applyAlignment="1" applyProtection="1">
      <alignment horizontal="left"/>
    </xf>
    <xf numFmtId="171" fontId="16" fillId="20" borderId="56" xfId="3" applyNumberFormat="1" applyFont="1" applyFill="1" applyBorder="1" applyProtection="1"/>
    <xf numFmtId="171" fontId="16" fillId="2" borderId="58" xfId="3" applyNumberFormat="1" applyFont="1" applyFill="1" applyBorder="1" applyProtection="1"/>
    <xf numFmtId="171" fontId="16" fillId="20" borderId="58" xfId="3" applyNumberFormat="1" applyFont="1" applyFill="1" applyBorder="1" applyProtection="1"/>
    <xf numFmtId="10" fontId="16" fillId="2" borderId="62" xfId="3" applyNumberFormat="1" applyFont="1" applyFill="1" applyBorder="1" applyAlignment="1" applyProtection="1"/>
    <xf numFmtId="170" fontId="22" fillId="2" borderId="26" xfId="2" applyNumberFormat="1" applyFont="1" applyFill="1" applyBorder="1" applyAlignment="1" applyProtection="1">
      <alignment horizontal="left" vertical="center" wrapText="1"/>
    </xf>
    <xf numFmtId="170" fontId="22" fillId="2" borderId="27" xfId="2" applyNumberFormat="1" applyFont="1" applyFill="1" applyBorder="1" applyAlignment="1" applyProtection="1">
      <alignment horizontal="left" vertical="center" wrapText="1"/>
    </xf>
    <xf numFmtId="170" fontId="22" fillId="2" borderId="28" xfId="2" applyNumberFormat="1" applyFont="1" applyFill="1" applyBorder="1" applyAlignment="1" applyProtection="1">
      <alignment horizontal="left" vertical="center" wrapText="1"/>
    </xf>
    <xf numFmtId="0" fontId="22" fillId="2" borderId="26" xfId="2" applyFont="1" applyFill="1" applyBorder="1" applyAlignment="1" applyProtection="1">
      <alignment horizontal="left" vertical="center" wrapText="1" indent="1"/>
    </xf>
    <xf numFmtId="0" fontId="22" fillId="2" borderId="27" xfId="2" applyFont="1" applyFill="1" applyBorder="1" applyAlignment="1" applyProtection="1">
      <alignment horizontal="left" vertical="center" wrapText="1" indent="1"/>
    </xf>
    <xf numFmtId="0" fontId="22" fillId="2" borderId="28" xfId="2" applyFont="1" applyFill="1" applyBorder="1" applyAlignment="1" applyProtection="1">
      <alignment horizontal="left" vertical="center" wrapText="1" indent="1"/>
    </xf>
    <xf numFmtId="0" fontId="33" fillId="0" borderId="0" xfId="3" applyFont="1" applyBorder="1" applyAlignment="1" applyProtection="1">
      <alignment horizontal="center" textRotation="45"/>
    </xf>
    <xf numFmtId="0" fontId="33" fillId="0" borderId="31" xfId="3" applyFont="1" applyBorder="1" applyAlignment="1" applyProtection="1">
      <alignment horizontal="center" textRotation="45"/>
    </xf>
    <xf numFmtId="0" fontId="32" fillId="0" borderId="47" xfId="3" applyFont="1" applyBorder="1" applyAlignment="1" applyProtection="1">
      <alignment horizontal="center" textRotation="90"/>
    </xf>
    <xf numFmtId="0" fontId="32" fillId="0" borderId="48" xfId="3" applyFont="1" applyBorder="1" applyAlignment="1" applyProtection="1">
      <alignment horizontal="center" textRotation="90"/>
    </xf>
    <xf numFmtId="0" fontId="32" fillId="0" borderId="54" xfId="3" applyFont="1" applyBorder="1" applyAlignment="1" applyProtection="1">
      <alignment horizontal="center" textRotation="90"/>
    </xf>
    <xf numFmtId="0" fontId="21" fillId="2" borderId="26" xfId="2" applyFont="1" applyFill="1" applyBorder="1" applyAlignment="1" applyProtection="1">
      <alignment horizontal="left" vertical="center" wrapText="1"/>
    </xf>
    <xf numFmtId="0" fontId="21" fillId="2" borderId="27" xfId="2" applyFont="1" applyFill="1" applyBorder="1" applyAlignment="1" applyProtection="1">
      <alignment horizontal="left" vertical="center" wrapText="1"/>
    </xf>
    <xf numFmtId="0" fontId="21" fillId="2" borderId="28" xfId="2" applyFont="1" applyFill="1" applyBorder="1" applyAlignment="1" applyProtection="1">
      <alignment horizontal="left" vertical="center" wrapText="1"/>
    </xf>
    <xf numFmtId="170" fontId="22" fillId="2" borderId="26" xfId="2" applyNumberFormat="1" applyFont="1" applyFill="1" applyBorder="1" applyAlignment="1" applyProtection="1">
      <alignment horizontal="center" vertical="center" wrapText="1"/>
    </xf>
    <xf numFmtId="170" fontId="22" fillId="2" borderId="27" xfId="2" applyNumberFormat="1" applyFont="1" applyFill="1" applyBorder="1" applyAlignment="1" applyProtection="1">
      <alignment horizontal="center" vertical="center" wrapText="1"/>
    </xf>
    <xf numFmtId="170" fontId="22" fillId="2" borderId="28" xfId="2" applyNumberFormat="1" applyFont="1" applyFill="1" applyBorder="1" applyAlignment="1" applyProtection="1">
      <alignment horizontal="center" vertical="center" wrapText="1"/>
    </xf>
    <xf numFmtId="0" fontId="23" fillId="19" borderId="0" xfId="2" applyFont="1" applyFill="1" applyBorder="1" applyAlignment="1" applyProtection="1">
      <alignment horizontal="right" vertical="center" wrapText="1"/>
    </xf>
    <xf numFmtId="0" fontId="23" fillId="19" borderId="0" xfId="2" applyFont="1" applyFill="1" applyAlignment="1" applyProtection="1">
      <alignment horizontal="right" vertical="center" wrapText="1"/>
    </xf>
    <xf numFmtId="0" fontId="23" fillId="19" borderId="22" xfId="2" applyFont="1" applyFill="1" applyBorder="1" applyAlignment="1" applyProtection="1">
      <alignment horizontal="right" vertical="center" wrapText="1"/>
    </xf>
    <xf numFmtId="0" fontId="24" fillId="0" borderId="42" xfId="2" applyFont="1" applyBorder="1" applyAlignment="1" applyProtection="1">
      <alignment horizontal="left" vertical="center"/>
    </xf>
    <xf numFmtId="0" fontId="16" fillId="0" borderId="0" xfId="3" applyBorder="1" applyAlignment="1" applyProtection="1">
      <alignment horizontal="center"/>
    </xf>
    <xf numFmtId="0" fontId="2" fillId="2" borderId="6" xfId="0" applyFont="1" applyFill="1" applyBorder="1" applyAlignment="1">
      <alignment horizontal="left"/>
    </xf>
    <xf numFmtId="0" fontId="2" fillId="2" borderId="15" xfId="0" applyFont="1" applyFill="1" applyBorder="1" applyAlignment="1">
      <alignment horizontal="center"/>
    </xf>
    <xf numFmtId="0" fontId="2" fillId="2" borderId="16" xfId="0" applyFont="1" applyFill="1" applyBorder="1" applyAlignment="1">
      <alignment horizontal="center"/>
    </xf>
    <xf numFmtId="0" fontId="2" fillId="2" borderId="17" xfId="0" applyFont="1" applyFill="1" applyBorder="1" applyAlignment="1">
      <alignment horizontal="center"/>
    </xf>
    <xf numFmtId="0" fontId="6" fillId="2" borderId="0" xfId="0" applyFont="1" applyFill="1" applyAlignment="1">
      <alignment horizontal="left"/>
    </xf>
    <xf numFmtId="0" fontId="3" fillId="2" borderId="6" xfId="0" applyFont="1" applyFill="1" applyBorder="1" applyAlignment="1">
      <alignment horizontal="left"/>
    </xf>
    <xf numFmtId="165" fontId="7" fillId="2" borderId="0" xfId="0" applyNumberFormat="1" applyFont="1" applyFill="1" applyAlignment="1">
      <alignment horizontal="left" wrapText="1"/>
    </xf>
    <xf numFmtId="164" fontId="4" fillId="2" borderId="0" xfId="0" applyNumberFormat="1" applyFont="1" applyFill="1" applyBorder="1" applyAlignment="1">
      <alignment horizontal="center" vertical="top"/>
    </xf>
    <xf numFmtId="164" fontId="4" fillId="2" borderId="0" xfId="0" applyNumberFormat="1" applyFont="1" applyFill="1" applyBorder="1" applyAlignment="1">
      <alignment horizontal="left" vertical="top"/>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xf>
  </cellXfs>
  <cellStyles count="6">
    <cellStyle name="Normal" xfId="0" builtinId="0"/>
    <cellStyle name="Normal 2" xfId="3" xr:uid="{EF4F2FB4-61A9-4E21-A7F2-E76D8ADAF795}"/>
    <cellStyle name="Normal 2 2" xfId="4" xr:uid="{72E635DB-4E78-4D54-9036-A7DE9139A550}"/>
    <cellStyle name="Normal 2_Plan d'actions hebdo TPM" xfId="2" xr:uid="{116121C8-9330-4D52-8AA3-4D5533FDBF63}"/>
    <cellStyle name="Percent" xfId="1" builtinId="5"/>
    <cellStyle name="Percent 2" xfId="5" xr:uid="{5E314EBA-186B-45CE-8F3E-662430D80E6D}"/>
  </cellStyles>
  <dxfs count="5">
    <dxf>
      <fill>
        <patternFill>
          <bgColor rgb="FFFF6699"/>
        </patternFill>
      </fill>
    </dxf>
    <dxf>
      <fill>
        <patternFill>
          <bgColor rgb="FFFF6699"/>
        </patternFill>
      </fill>
    </dxf>
    <dxf>
      <fill>
        <patternFill>
          <bgColor rgb="FFFF6699"/>
        </patternFill>
      </fill>
    </dxf>
    <dxf>
      <fill>
        <patternFill>
          <bgColor rgb="FFFF6699"/>
        </patternFill>
      </fill>
    </dxf>
    <dxf>
      <fill>
        <patternFill>
          <bgColor rgb="FFFF6699"/>
        </patternFill>
      </fill>
    </dxf>
  </dxfs>
  <tableStyles count="0" defaultTableStyle="TableStyleMedium2" defaultPivotStyle="PivotStyleLight16"/>
  <colors>
    <mruColors>
      <color rgb="FF66FF66"/>
      <color rgb="FFFF6699"/>
      <color rgb="FF0099FF"/>
      <color rgb="FF0066FF"/>
      <color rgb="FFFF66CC"/>
      <color rgb="FF283376"/>
      <color rgb="FF90EE90"/>
      <color rgb="FF6495ED"/>
      <color rgb="FFF39548"/>
      <color rgb="FF68333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Ex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EA3F-4B95-B32E-9DD9ED816A79}"/>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EA3F-4B95-B32E-9DD9ED816A79}"/>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EA3F-4B95-B32E-9DD9ED816A79}"/>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EA3F-4B95-B32E-9DD9ED816A79}"/>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EA3F-4B95-B32E-9DD9ED816A79}"/>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B-EA3F-4B95-B32E-9DD9ED816A79}"/>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'Overall Graphs'!$C$6:$C$12</c:f>
              <c:strCache>
                <c:ptCount val="7"/>
                <c:pt idx="0">
                  <c:v>Processing </c:v>
                </c:pt>
                <c:pt idx="1">
                  <c:v>Filler </c:v>
                </c:pt>
                <c:pt idx="2">
                  <c:v>Conveyor </c:v>
                </c:pt>
                <c:pt idx="3">
                  <c:v>Cap</c:v>
                </c:pt>
                <c:pt idx="4">
                  <c:v>Tray</c:v>
                </c:pt>
                <c:pt idx="5">
                  <c:v>Utility </c:v>
                </c:pt>
                <c:pt idx="6">
                  <c:v>Palletizer </c:v>
                </c:pt>
              </c:strCache>
            </c:strRef>
          </c:cat>
          <c:val>
            <c:numRef>
              <c:f>'Overall Graphs'!$D$6:$D$12</c:f>
              <c:numCache>
                <c:formatCode>General</c:formatCode>
                <c:ptCount val="7"/>
                <c:pt idx="0">
                  <c:v>19168</c:v>
                </c:pt>
                <c:pt idx="1">
                  <c:v>13933</c:v>
                </c:pt>
                <c:pt idx="2">
                  <c:v>8599</c:v>
                </c:pt>
                <c:pt idx="3">
                  <c:v>2617</c:v>
                </c:pt>
                <c:pt idx="4">
                  <c:v>2230</c:v>
                </c:pt>
                <c:pt idx="5">
                  <c:v>437</c:v>
                </c:pt>
                <c:pt idx="6">
                  <c:v>0</c:v>
                </c:pt>
              </c:numCache>
            </c:numRef>
          </c:val>
          <c:extLst>
            <c:ext xmlns:c16="http://schemas.microsoft.com/office/drawing/2014/chart" uri="{C3380CC4-5D6E-409C-BE32-E72D297353CC}">
              <c16:uniqueId val="{0000000C-EA3F-4B95-B32E-9DD9ED816A79}"/>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42333576714047"/>
          <c:y val="0.16573995962309351"/>
          <c:w val="0.16639422786430888"/>
          <c:h val="0.69195058648909558"/>
        </c:manualLayout>
      </c:layout>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3.9246022818576247E-2"/>
          <c:y val="0.13330062045141153"/>
          <c:w val="0.96075397718142375"/>
          <c:h val="0.73955013664625613"/>
        </c:manualLayout>
      </c:layout>
      <c:barChart>
        <c:barDir val="col"/>
        <c:grouping val="clustered"/>
        <c:varyColors val="0"/>
        <c:ser>
          <c:idx val="0"/>
          <c:order val="0"/>
          <c:spPr>
            <a:solidFill>
              <a:srgbClr val="6495ED"/>
            </a:solidFill>
          </c:spPr>
          <c:invertIfNegative val="0"/>
          <c:dPt>
            <c:idx val="1"/>
            <c:invertIfNegative val="0"/>
            <c:bubble3D val="0"/>
            <c:spPr>
              <a:solidFill>
                <a:srgbClr val="90EE90"/>
              </a:solidFill>
            </c:spPr>
            <c:extLst>
              <c:ext xmlns:c16="http://schemas.microsoft.com/office/drawing/2014/chart" uri="{C3380CC4-5D6E-409C-BE32-E72D297353CC}">
                <c16:uniqueId val="{00000003-C5A0-4C6E-87BE-E6FB9D3FA580}"/>
              </c:ext>
            </c:extLst>
          </c:dPt>
          <c:dPt>
            <c:idx val="7"/>
            <c:invertIfNegative val="0"/>
            <c:bubble3D val="0"/>
            <c:spPr>
              <a:solidFill>
                <a:srgbClr val="90EE90"/>
              </a:solidFill>
            </c:spPr>
            <c:extLst>
              <c:ext xmlns:c16="http://schemas.microsoft.com/office/drawing/2014/chart" uri="{C3380CC4-5D6E-409C-BE32-E72D297353CC}">
                <c16:uniqueId val="{0000000F-C5A0-4C6E-87BE-E6FB9D3FA580}"/>
              </c:ext>
            </c:extLst>
          </c:dPt>
          <c:dPt>
            <c:idx val="8"/>
            <c:invertIfNegative val="0"/>
            <c:bubble3D val="0"/>
            <c:spPr>
              <a:solidFill>
                <a:srgbClr val="90EE90"/>
              </a:solidFill>
            </c:spPr>
            <c:extLst>
              <c:ext xmlns:c16="http://schemas.microsoft.com/office/drawing/2014/chart" uri="{C3380CC4-5D6E-409C-BE32-E72D297353CC}">
                <c16:uniqueId val="{00000017-C5A0-4C6E-87BE-E6FB9D3FA580}"/>
              </c:ext>
            </c:extLst>
          </c:dPt>
          <c:dPt>
            <c:idx val="9"/>
            <c:invertIfNegative val="0"/>
            <c:bubble3D val="0"/>
            <c:spPr>
              <a:solidFill>
                <a:srgbClr val="90EE90"/>
              </a:solidFill>
            </c:spPr>
            <c:extLst>
              <c:ext xmlns:c16="http://schemas.microsoft.com/office/drawing/2014/chart" uri="{C3380CC4-5D6E-409C-BE32-E72D297353CC}">
                <c16:uniqueId val="{00000016-C5A0-4C6E-87BE-E6FB9D3FA580}"/>
              </c:ext>
            </c:extLst>
          </c:dPt>
          <c:dPt>
            <c:idx val="10"/>
            <c:invertIfNegative val="0"/>
            <c:bubble3D val="0"/>
            <c:spPr>
              <a:solidFill>
                <a:srgbClr val="90EE90"/>
              </a:solidFill>
            </c:spPr>
            <c:extLst>
              <c:ext xmlns:c16="http://schemas.microsoft.com/office/drawing/2014/chart" uri="{C3380CC4-5D6E-409C-BE32-E72D297353CC}">
                <c16:uniqueId val="{00000018-C5A0-4C6E-87BE-E6FB9D3FA580}"/>
              </c:ext>
            </c:extLst>
          </c:dPt>
          <c:dPt>
            <c:idx val="21"/>
            <c:invertIfNegative val="0"/>
            <c:bubble3D val="0"/>
            <c:spPr>
              <a:solidFill>
                <a:srgbClr val="90EE90"/>
              </a:solidFill>
            </c:spPr>
            <c:extLst>
              <c:ext xmlns:c16="http://schemas.microsoft.com/office/drawing/2014/chart" uri="{C3380CC4-5D6E-409C-BE32-E72D297353CC}">
                <c16:uniqueId val="{00000015-C5A0-4C6E-87BE-E6FB9D3FA580}"/>
              </c:ext>
            </c:extLst>
          </c:dPt>
          <c:trendline>
            <c:spPr>
              <a:ln>
                <a:solidFill>
                  <a:srgbClr val="F39548"/>
                </a:solidFill>
              </a:ln>
            </c:spPr>
            <c:trendlineType val="poly"/>
            <c:order val="6"/>
            <c:dispRSqr val="0"/>
            <c:dispEq val="0"/>
          </c:trendline>
          <c:cat>
            <c:numRef>
              <c:f>'[3]PL W#24 to W30'!$E$30:$AC$30</c:f>
              <c:numCache>
                <c:formatCode>General</c:formatCode>
                <c:ptCount val="25"/>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0.66666666666666596</c:v>
                </c:pt>
                <c:pt idx="10">
                  <c:v>0.70833333333333304</c:v>
                </c:pt>
                <c:pt idx="11">
                  <c:v>0.75</c:v>
                </c:pt>
                <c:pt idx="12">
                  <c:v>0.79166666666666696</c:v>
                </c:pt>
                <c:pt idx="13">
                  <c:v>0.83333333333333304</c:v>
                </c:pt>
                <c:pt idx="14">
                  <c:v>0.875</c:v>
                </c:pt>
                <c:pt idx="15">
                  <c:v>0.91666666666666696</c:v>
                </c:pt>
                <c:pt idx="16">
                  <c:v>0.95833333333333304</c:v>
                </c:pt>
                <c:pt idx="17">
                  <c:v>1</c:v>
                </c:pt>
                <c:pt idx="18">
                  <c:v>1.0416666666666701</c:v>
                </c:pt>
                <c:pt idx="19">
                  <c:v>1.0833333333333299</c:v>
                </c:pt>
                <c:pt idx="20">
                  <c:v>1.125</c:v>
                </c:pt>
                <c:pt idx="21">
                  <c:v>1.1666666666666701</c:v>
                </c:pt>
                <c:pt idx="22">
                  <c:v>1.2083333333333399</c:v>
                </c:pt>
                <c:pt idx="23">
                  <c:v>1.25</c:v>
                </c:pt>
                <c:pt idx="24">
                  <c:v>1.2916666666666701</c:v>
                </c:pt>
              </c:numCache>
            </c:numRef>
          </c:cat>
          <c:val>
            <c:numRef>
              <c:f>'Hourly Graph and Eff'!$F$23:$AD$23</c:f>
              <c:numCache>
                <c:formatCode>0.0%</c:formatCode>
                <c:ptCount val="25"/>
                <c:pt idx="0">
                  <c:v>0.753</c:v>
                </c:pt>
                <c:pt idx="1">
                  <c:v>0.85799999999999998</c:v>
                </c:pt>
                <c:pt idx="2">
                  <c:v>0.746</c:v>
                </c:pt>
                <c:pt idx="3">
                  <c:v>0.56699999999999995</c:v>
                </c:pt>
                <c:pt idx="4">
                  <c:v>0.58799999999999997</c:v>
                </c:pt>
                <c:pt idx="5">
                  <c:v>0.63700000000000001</c:v>
                </c:pt>
                <c:pt idx="6">
                  <c:v>0.77500000000000002</c:v>
                </c:pt>
                <c:pt idx="7">
                  <c:v>0.85</c:v>
                </c:pt>
                <c:pt idx="8">
                  <c:v>0.9</c:v>
                </c:pt>
                <c:pt idx="9">
                  <c:v>0.93</c:v>
                </c:pt>
                <c:pt idx="10">
                  <c:v>0.87</c:v>
                </c:pt>
                <c:pt idx="11">
                  <c:v>0.76700000000000002</c:v>
                </c:pt>
                <c:pt idx="12">
                  <c:v>0.28000000000000003</c:v>
                </c:pt>
                <c:pt idx="13">
                  <c:v>0.34</c:v>
                </c:pt>
                <c:pt idx="14">
                  <c:v>0.76700000000000002</c:v>
                </c:pt>
                <c:pt idx="15">
                  <c:v>0.32</c:v>
                </c:pt>
                <c:pt idx="16">
                  <c:v>0.34</c:v>
                </c:pt>
                <c:pt idx="17">
                  <c:v>0.56000000000000005</c:v>
                </c:pt>
                <c:pt idx="18">
                  <c:v>0.33</c:v>
                </c:pt>
                <c:pt idx="19">
                  <c:v>0.54</c:v>
                </c:pt>
                <c:pt idx="20">
                  <c:v>0.76</c:v>
                </c:pt>
                <c:pt idx="21">
                  <c:v>0.89</c:v>
                </c:pt>
                <c:pt idx="22">
                  <c:v>0.45</c:v>
                </c:pt>
                <c:pt idx="23">
                  <c:v>0.23</c:v>
                </c:pt>
                <c:pt idx="24">
                  <c:v>0.4</c:v>
                </c:pt>
              </c:numCache>
            </c:numRef>
          </c:val>
          <c:extLst>
            <c:ext xmlns:c16="http://schemas.microsoft.com/office/drawing/2014/chart" uri="{C3380CC4-5D6E-409C-BE32-E72D297353CC}">
              <c16:uniqueId val="{00000012-C5A0-4C6E-87BE-E6FB9D3FA580}"/>
            </c:ext>
          </c:extLst>
        </c:ser>
        <c:dLbls>
          <c:showLegendKey val="0"/>
          <c:showVal val="0"/>
          <c:showCatName val="0"/>
          <c:showSerName val="0"/>
          <c:showPercent val="0"/>
          <c:showBubbleSize val="0"/>
        </c:dLbls>
        <c:gapWidth val="30"/>
        <c:axId val="-839976688"/>
        <c:axId val="-839971792"/>
      </c:barChart>
      <c:lineChart>
        <c:grouping val="standard"/>
        <c:varyColors val="0"/>
        <c:ser>
          <c:idx val="1"/>
          <c:order val="1"/>
          <c:spPr>
            <a:ln>
              <a:prstDash val="dash"/>
            </a:ln>
          </c:spPr>
          <c:marker>
            <c:symbol val="none"/>
          </c:marker>
          <c:cat>
            <c:numRef>
              <c:f>'Hourly Graph and Eff'!$F$22:$AD$22</c:f>
              <c:numCache>
                <c:formatCode>h:mm</c:formatCode>
                <c:ptCount val="25"/>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0.66666666666666596</c:v>
                </c:pt>
                <c:pt idx="10">
                  <c:v>0.70833333333333304</c:v>
                </c:pt>
                <c:pt idx="11">
                  <c:v>0.75</c:v>
                </c:pt>
                <c:pt idx="12">
                  <c:v>0.79166666666666696</c:v>
                </c:pt>
                <c:pt idx="13">
                  <c:v>0.83333333333333304</c:v>
                </c:pt>
                <c:pt idx="14">
                  <c:v>0.875</c:v>
                </c:pt>
                <c:pt idx="15">
                  <c:v>0.91666666666666696</c:v>
                </c:pt>
                <c:pt idx="16">
                  <c:v>0.95833333333333304</c:v>
                </c:pt>
                <c:pt idx="17">
                  <c:v>1</c:v>
                </c:pt>
                <c:pt idx="18">
                  <c:v>1.0416666666666701</c:v>
                </c:pt>
                <c:pt idx="19">
                  <c:v>1.0833333333333299</c:v>
                </c:pt>
                <c:pt idx="20">
                  <c:v>1.125</c:v>
                </c:pt>
                <c:pt idx="21">
                  <c:v>1.1666666666666701</c:v>
                </c:pt>
                <c:pt idx="22">
                  <c:v>1.2083333333333399</c:v>
                </c:pt>
                <c:pt idx="23">
                  <c:v>1.25</c:v>
                </c:pt>
                <c:pt idx="24">
                  <c:v>1.2916666666666701</c:v>
                </c:pt>
              </c:numCache>
            </c:numRef>
          </c:cat>
          <c:val>
            <c:numRef>
              <c:f>'Hourly Graph and Eff'!$F$24:$AD$24</c:f>
              <c:numCache>
                <c:formatCode>#,##0.00;\-#,##0.00;"-";@</c:formatCode>
                <c:ptCount val="25"/>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numCache>
            </c:numRef>
          </c:val>
          <c:smooth val="0"/>
          <c:extLst>
            <c:ext xmlns:c16="http://schemas.microsoft.com/office/drawing/2014/chart" uri="{C3380CC4-5D6E-409C-BE32-E72D297353CC}">
              <c16:uniqueId val="{00000013-C5A0-4C6E-87BE-E6FB9D3FA580}"/>
            </c:ext>
          </c:extLst>
        </c:ser>
        <c:dLbls>
          <c:showLegendKey val="0"/>
          <c:showVal val="0"/>
          <c:showCatName val="0"/>
          <c:showSerName val="0"/>
          <c:showPercent val="0"/>
          <c:showBubbleSize val="0"/>
        </c:dLbls>
        <c:marker val="1"/>
        <c:smooth val="0"/>
        <c:axId val="-839976688"/>
        <c:axId val="-839971792"/>
      </c:lineChart>
      <c:catAx>
        <c:axId val="-839976688"/>
        <c:scaling>
          <c:orientation val="minMax"/>
        </c:scaling>
        <c:delete val="0"/>
        <c:axPos val="b"/>
        <c:numFmt formatCode="h:mm;@" sourceLinked="0"/>
        <c:majorTickMark val="out"/>
        <c:minorTickMark val="none"/>
        <c:tickLblPos val="nextTo"/>
        <c:spPr>
          <a:ln w="12700">
            <a:solidFill>
              <a:schemeClr val="bg1">
                <a:lumMod val="50000"/>
              </a:schemeClr>
            </a:solidFill>
          </a:ln>
        </c:spPr>
        <c:txPr>
          <a:bodyPr/>
          <a:lstStyle/>
          <a:p>
            <a:pPr>
              <a:defRPr>
                <a:solidFill>
                  <a:schemeClr val="tx1"/>
                </a:solidFill>
              </a:defRPr>
            </a:pPr>
            <a:endParaRPr lang="en-US"/>
          </a:p>
        </c:txPr>
        <c:crossAx val="-839971792"/>
        <c:crosses val="autoZero"/>
        <c:auto val="1"/>
        <c:lblAlgn val="ctr"/>
        <c:lblOffset val="100"/>
        <c:noMultiLvlLbl val="0"/>
      </c:catAx>
      <c:valAx>
        <c:axId val="-839971792"/>
        <c:scaling>
          <c:orientation val="minMax"/>
        </c:scaling>
        <c:delete val="0"/>
        <c:axPos val="l"/>
        <c:majorGridlines>
          <c:spPr>
            <a:ln w="9525">
              <a:solidFill>
                <a:sysClr val="window" lastClr="FFFFFF">
                  <a:lumMod val="85000"/>
                </a:sysClr>
              </a:solidFill>
            </a:ln>
          </c:spPr>
        </c:majorGridlines>
        <c:numFmt formatCode="0%" sourceLinked="0"/>
        <c:majorTickMark val="out"/>
        <c:minorTickMark val="none"/>
        <c:tickLblPos val="nextTo"/>
        <c:spPr>
          <a:ln w="12700">
            <a:solidFill>
              <a:schemeClr val="bg1">
                <a:lumMod val="50000"/>
              </a:schemeClr>
            </a:solidFill>
          </a:ln>
        </c:spPr>
        <c:txPr>
          <a:bodyPr/>
          <a:lstStyle/>
          <a:p>
            <a:pPr>
              <a:defRPr>
                <a:solidFill>
                  <a:schemeClr val="tx1"/>
                </a:solidFill>
              </a:defRPr>
            </a:pPr>
            <a:endParaRPr lang="en-US"/>
          </a:p>
        </c:txPr>
        <c:crossAx val="-839976688"/>
        <c:crosses val="autoZero"/>
        <c:crossBetween val="between"/>
      </c:valAx>
    </c:plotArea>
    <c:plotVisOnly val="1"/>
    <c:dispBlanksAs val="gap"/>
    <c:showDLblsOverMax val="0"/>
  </c:chart>
  <c:spPr>
    <a:ln w="3175">
      <a:noFill/>
    </a:ln>
  </c:spPr>
  <c:txPr>
    <a:bodyPr/>
    <a:lstStyle/>
    <a:p>
      <a:pPr>
        <a:defRPr sz="800" b="1">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6243237121059191E-2"/>
          <c:y val="6.6885052507399484E-2"/>
          <c:w val="0.96472477721601302"/>
          <c:h val="0.8224611209685837"/>
        </c:manualLayout>
      </c:layout>
      <c:barChart>
        <c:barDir val="bar"/>
        <c:grouping val="stacked"/>
        <c:varyColors val="0"/>
        <c:ser>
          <c:idx val="0"/>
          <c:order val="0"/>
          <c:spPr>
            <a:solidFill>
              <a:schemeClr val="accent1"/>
            </a:solidFill>
            <a:ln>
              <a:noFill/>
            </a:ln>
            <a:effectLst/>
          </c:spPr>
          <c:invertIfNegative val="0"/>
          <c:val>
            <c:numRef>
              <c:f>'Hourly Graph and Eff'!$F$5</c:f>
              <c:numCache>
                <c:formatCode>General</c:formatCode>
                <c:ptCount val="1"/>
                <c:pt idx="0">
                  <c:v>2</c:v>
                </c:pt>
              </c:numCache>
            </c:numRef>
          </c:val>
          <c:extLst>
            <c:ext xmlns:c16="http://schemas.microsoft.com/office/drawing/2014/chart" uri="{C3380CC4-5D6E-409C-BE32-E72D297353CC}">
              <c16:uniqueId val="{00000000-A505-46A5-92BE-B148C7C246E2}"/>
            </c:ext>
          </c:extLst>
        </c:ser>
        <c:ser>
          <c:idx val="1"/>
          <c:order val="1"/>
          <c:spPr>
            <a:solidFill>
              <a:schemeClr val="accent2"/>
            </a:solidFill>
            <a:ln>
              <a:noFill/>
            </a:ln>
            <a:effectLst/>
          </c:spPr>
          <c:invertIfNegative val="0"/>
          <c:val>
            <c:numRef>
              <c:f>'Hourly Graph and Eff'!$F$6</c:f>
              <c:numCache>
                <c:formatCode>General</c:formatCode>
                <c:ptCount val="1"/>
                <c:pt idx="0">
                  <c:v>1</c:v>
                </c:pt>
              </c:numCache>
            </c:numRef>
          </c:val>
          <c:extLst>
            <c:ext xmlns:c16="http://schemas.microsoft.com/office/drawing/2014/chart" uri="{C3380CC4-5D6E-409C-BE32-E72D297353CC}">
              <c16:uniqueId val="{0000000D-A505-46A5-92BE-B148C7C246E2}"/>
            </c:ext>
          </c:extLst>
        </c:ser>
        <c:ser>
          <c:idx val="2"/>
          <c:order val="2"/>
          <c:spPr>
            <a:solidFill>
              <a:schemeClr val="accent3"/>
            </a:solidFill>
            <a:ln>
              <a:noFill/>
            </a:ln>
            <a:effectLst/>
          </c:spPr>
          <c:invertIfNegative val="0"/>
          <c:val>
            <c:numRef>
              <c:f>'Hourly Graph and Eff'!$F$7</c:f>
              <c:numCache>
                <c:formatCode>General</c:formatCode>
                <c:ptCount val="1"/>
              </c:numCache>
            </c:numRef>
          </c:val>
          <c:extLst>
            <c:ext xmlns:c16="http://schemas.microsoft.com/office/drawing/2014/chart" uri="{C3380CC4-5D6E-409C-BE32-E72D297353CC}">
              <c16:uniqueId val="{0000000E-A505-46A5-92BE-B148C7C246E2}"/>
            </c:ext>
          </c:extLst>
        </c:ser>
        <c:ser>
          <c:idx val="3"/>
          <c:order val="3"/>
          <c:spPr>
            <a:solidFill>
              <a:schemeClr val="accent4"/>
            </a:solidFill>
            <a:ln>
              <a:noFill/>
            </a:ln>
            <a:effectLst/>
          </c:spPr>
          <c:invertIfNegative val="0"/>
          <c:val>
            <c:numRef>
              <c:f>'Hourly Graph and Eff'!$F$8</c:f>
              <c:numCache>
                <c:formatCode>General</c:formatCode>
                <c:ptCount val="1"/>
              </c:numCache>
            </c:numRef>
          </c:val>
          <c:extLst>
            <c:ext xmlns:c16="http://schemas.microsoft.com/office/drawing/2014/chart" uri="{C3380CC4-5D6E-409C-BE32-E72D297353CC}">
              <c16:uniqueId val="{0000000F-A505-46A5-92BE-B148C7C246E2}"/>
            </c:ext>
          </c:extLst>
        </c:ser>
        <c:ser>
          <c:idx val="4"/>
          <c:order val="4"/>
          <c:spPr>
            <a:solidFill>
              <a:schemeClr val="accent5"/>
            </a:solidFill>
            <a:ln>
              <a:noFill/>
            </a:ln>
            <a:effectLst/>
          </c:spPr>
          <c:invertIfNegative val="0"/>
          <c:val>
            <c:numRef>
              <c:f>'Hourly Graph and Eff'!$F$9</c:f>
              <c:numCache>
                <c:formatCode>General</c:formatCode>
                <c:ptCount val="1"/>
              </c:numCache>
            </c:numRef>
          </c:val>
          <c:extLst>
            <c:ext xmlns:c16="http://schemas.microsoft.com/office/drawing/2014/chart" uri="{C3380CC4-5D6E-409C-BE32-E72D297353CC}">
              <c16:uniqueId val="{00000010-A505-46A5-92BE-B148C7C246E2}"/>
            </c:ext>
          </c:extLst>
        </c:ser>
        <c:ser>
          <c:idx val="5"/>
          <c:order val="5"/>
          <c:spPr>
            <a:solidFill>
              <a:schemeClr val="accent6"/>
            </a:solidFill>
            <a:ln>
              <a:noFill/>
            </a:ln>
            <a:effectLst/>
          </c:spPr>
          <c:invertIfNegative val="0"/>
          <c:val>
            <c:numRef>
              <c:f>'Hourly Graph and Eff'!$F$10</c:f>
              <c:numCache>
                <c:formatCode>General</c:formatCode>
                <c:ptCount val="1"/>
              </c:numCache>
            </c:numRef>
          </c:val>
          <c:extLst>
            <c:ext xmlns:c16="http://schemas.microsoft.com/office/drawing/2014/chart" uri="{C3380CC4-5D6E-409C-BE32-E72D297353CC}">
              <c16:uniqueId val="{00000011-A505-46A5-92BE-B148C7C246E2}"/>
            </c:ext>
          </c:extLst>
        </c:ser>
        <c:ser>
          <c:idx val="6"/>
          <c:order val="6"/>
          <c:spPr>
            <a:solidFill>
              <a:schemeClr val="accent1">
                <a:lumMod val="60000"/>
              </a:schemeClr>
            </a:solidFill>
            <a:ln>
              <a:noFill/>
            </a:ln>
            <a:effectLst/>
          </c:spPr>
          <c:invertIfNegative val="0"/>
          <c:val>
            <c:numRef>
              <c:f>'Hourly Graph and Eff'!$F$11</c:f>
              <c:numCache>
                <c:formatCode>General</c:formatCode>
                <c:ptCount val="1"/>
              </c:numCache>
            </c:numRef>
          </c:val>
          <c:extLst>
            <c:ext xmlns:c16="http://schemas.microsoft.com/office/drawing/2014/chart" uri="{C3380CC4-5D6E-409C-BE32-E72D297353CC}">
              <c16:uniqueId val="{00000012-A505-46A5-92BE-B148C7C246E2}"/>
            </c:ext>
          </c:extLst>
        </c:ser>
        <c:ser>
          <c:idx val="7"/>
          <c:order val="7"/>
          <c:spPr>
            <a:solidFill>
              <a:schemeClr val="accent2">
                <a:lumMod val="60000"/>
              </a:schemeClr>
            </a:solidFill>
            <a:ln>
              <a:noFill/>
            </a:ln>
            <a:effectLst/>
          </c:spPr>
          <c:invertIfNegative val="0"/>
          <c:val>
            <c:numRef>
              <c:f>'Hourly Graph and Eff'!$F$12</c:f>
              <c:numCache>
                <c:formatCode>General</c:formatCode>
                <c:ptCount val="1"/>
                <c:pt idx="0">
                  <c:v>1</c:v>
                </c:pt>
              </c:numCache>
            </c:numRef>
          </c:val>
          <c:extLst>
            <c:ext xmlns:c16="http://schemas.microsoft.com/office/drawing/2014/chart" uri="{C3380CC4-5D6E-409C-BE32-E72D297353CC}">
              <c16:uniqueId val="{00000013-A505-46A5-92BE-B148C7C246E2}"/>
            </c:ext>
          </c:extLst>
        </c:ser>
        <c:ser>
          <c:idx val="8"/>
          <c:order val="8"/>
          <c:spPr>
            <a:solidFill>
              <a:schemeClr val="accent3">
                <a:lumMod val="60000"/>
              </a:schemeClr>
            </a:solidFill>
            <a:ln>
              <a:noFill/>
            </a:ln>
            <a:effectLst/>
          </c:spPr>
          <c:invertIfNegative val="0"/>
          <c:val>
            <c:numRef>
              <c:f>'Hourly Graph and Eff'!$F$13</c:f>
              <c:numCache>
                <c:formatCode>General</c:formatCode>
                <c:ptCount val="1"/>
                <c:pt idx="0">
                  <c:v>2</c:v>
                </c:pt>
              </c:numCache>
            </c:numRef>
          </c:val>
          <c:extLst>
            <c:ext xmlns:c16="http://schemas.microsoft.com/office/drawing/2014/chart" uri="{C3380CC4-5D6E-409C-BE32-E72D297353CC}">
              <c16:uniqueId val="{00000014-A505-46A5-92BE-B148C7C246E2}"/>
            </c:ext>
          </c:extLst>
        </c:ser>
        <c:ser>
          <c:idx val="9"/>
          <c:order val="9"/>
          <c:spPr>
            <a:solidFill>
              <a:schemeClr val="accent4">
                <a:lumMod val="60000"/>
              </a:schemeClr>
            </a:solidFill>
            <a:ln>
              <a:noFill/>
            </a:ln>
            <a:effectLst/>
          </c:spPr>
          <c:invertIfNegative val="0"/>
          <c:val>
            <c:numRef>
              <c:f>'Hourly Graph and Eff'!$F$14</c:f>
              <c:numCache>
                <c:formatCode>General</c:formatCode>
                <c:ptCount val="1"/>
                <c:pt idx="0">
                  <c:v>1</c:v>
                </c:pt>
              </c:numCache>
            </c:numRef>
          </c:val>
          <c:extLst>
            <c:ext xmlns:c16="http://schemas.microsoft.com/office/drawing/2014/chart" uri="{C3380CC4-5D6E-409C-BE32-E72D297353CC}">
              <c16:uniqueId val="{00000015-A505-46A5-92BE-B148C7C246E2}"/>
            </c:ext>
          </c:extLst>
        </c:ser>
        <c:ser>
          <c:idx val="10"/>
          <c:order val="10"/>
          <c:spPr>
            <a:solidFill>
              <a:schemeClr val="accent5">
                <a:lumMod val="60000"/>
              </a:schemeClr>
            </a:solidFill>
            <a:ln>
              <a:noFill/>
            </a:ln>
            <a:effectLst/>
          </c:spPr>
          <c:invertIfNegative val="0"/>
          <c:val>
            <c:numRef>
              <c:f>'Hourly Graph and Eff'!$F$15</c:f>
              <c:numCache>
                <c:formatCode>General</c:formatCode>
                <c:ptCount val="1"/>
                <c:pt idx="0">
                  <c:v>1</c:v>
                </c:pt>
              </c:numCache>
            </c:numRef>
          </c:val>
          <c:extLst>
            <c:ext xmlns:c16="http://schemas.microsoft.com/office/drawing/2014/chart" uri="{C3380CC4-5D6E-409C-BE32-E72D297353CC}">
              <c16:uniqueId val="{00000016-A505-46A5-92BE-B148C7C246E2}"/>
            </c:ext>
          </c:extLst>
        </c:ser>
        <c:ser>
          <c:idx val="12"/>
          <c:order val="12"/>
          <c:spPr>
            <a:solidFill>
              <a:schemeClr val="accent1">
                <a:lumMod val="80000"/>
                <a:lumOff val="20000"/>
              </a:schemeClr>
            </a:solidFill>
            <a:ln>
              <a:noFill/>
            </a:ln>
            <a:effectLst/>
          </c:spPr>
          <c:invertIfNegative val="0"/>
          <c:val>
            <c:numRef>
              <c:f>'Hourly Graph and Eff'!$F$17</c:f>
              <c:numCache>
                <c:formatCode>General</c:formatCode>
                <c:ptCount val="1"/>
                <c:pt idx="0">
                  <c:v>5</c:v>
                </c:pt>
              </c:numCache>
            </c:numRef>
          </c:val>
          <c:extLst>
            <c:ext xmlns:c16="http://schemas.microsoft.com/office/drawing/2014/chart" uri="{C3380CC4-5D6E-409C-BE32-E72D297353CC}">
              <c16:uniqueId val="{00000018-A505-46A5-92BE-B148C7C246E2}"/>
            </c:ext>
          </c:extLst>
        </c:ser>
        <c:ser>
          <c:idx val="13"/>
          <c:order val="13"/>
          <c:spPr>
            <a:solidFill>
              <a:schemeClr val="accent2">
                <a:lumMod val="80000"/>
                <a:lumOff val="20000"/>
              </a:schemeClr>
            </a:solidFill>
            <a:ln>
              <a:noFill/>
            </a:ln>
            <a:effectLst/>
          </c:spPr>
          <c:invertIfNegative val="0"/>
          <c:val>
            <c:numRef>
              <c:f>'Hourly Graph and Eff'!$F$18</c:f>
              <c:numCache>
                <c:formatCode>General</c:formatCode>
                <c:ptCount val="1"/>
                <c:pt idx="0">
                  <c:v>2</c:v>
                </c:pt>
              </c:numCache>
            </c:numRef>
          </c:val>
          <c:extLst>
            <c:ext xmlns:c16="http://schemas.microsoft.com/office/drawing/2014/chart" uri="{C3380CC4-5D6E-409C-BE32-E72D297353CC}">
              <c16:uniqueId val="{00000019-A505-46A5-92BE-B148C7C246E2}"/>
            </c:ext>
          </c:extLst>
        </c:ser>
        <c:dLbls>
          <c:showLegendKey val="0"/>
          <c:showVal val="0"/>
          <c:showCatName val="0"/>
          <c:showSerName val="0"/>
          <c:showPercent val="0"/>
          <c:showBubbleSize val="0"/>
        </c:dLbls>
        <c:gapWidth val="300"/>
        <c:overlap val="100"/>
        <c:serLines>
          <c:spPr>
            <a:ln w="9525" cap="flat" cmpd="sng" algn="ctr">
              <a:solidFill>
                <a:schemeClr val="tx1">
                  <a:lumMod val="35000"/>
                  <a:lumOff val="65000"/>
                </a:schemeClr>
              </a:solidFill>
              <a:round/>
            </a:ln>
            <a:effectLst/>
          </c:spPr>
        </c:serLines>
        <c:axId val="327738528"/>
        <c:axId val="327740824"/>
      </c:barChart>
      <c:barChart>
        <c:barDir val="bar"/>
        <c:grouping val="stacked"/>
        <c:varyColors val="0"/>
        <c:ser>
          <c:idx val="11"/>
          <c:order val="11"/>
          <c:spPr>
            <a:solidFill>
              <a:schemeClr val="accent6">
                <a:lumMod val="60000"/>
              </a:schemeClr>
            </a:solidFill>
            <a:ln>
              <a:noFill/>
            </a:ln>
            <a:effectLst/>
          </c:spPr>
          <c:invertIfNegative val="0"/>
          <c:val>
            <c:numRef>
              <c:f>'Hourly Graph and Eff'!$F$16</c:f>
              <c:numCache>
                <c:formatCode>General</c:formatCode>
                <c:ptCount val="1"/>
                <c:pt idx="0">
                  <c:v>1</c:v>
                </c:pt>
              </c:numCache>
            </c:numRef>
          </c:val>
          <c:extLst>
            <c:ext xmlns:c16="http://schemas.microsoft.com/office/drawing/2014/chart" uri="{C3380CC4-5D6E-409C-BE32-E72D297353CC}">
              <c16:uniqueId val="{00000017-A505-46A5-92BE-B148C7C246E2}"/>
            </c:ext>
          </c:extLst>
        </c:ser>
        <c:ser>
          <c:idx val="14"/>
          <c:order val="14"/>
          <c:spPr>
            <a:solidFill>
              <a:schemeClr val="accent3">
                <a:lumMod val="80000"/>
                <a:lumOff val="20000"/>
              </a:schemeClr>
            </a:solidFill>
            <a:ln>
              <a:noFill/>
            </a:ln>
            <a:effectLst/>
          </c:spPr>
          <c:invertIfNegative val="0"/>
          <c:val>
            <c:numRef>
              <c:f>'Hourly Graph and Eff'!$F$19</c:f>
              <c:numCache>
                <c:formatCode>General</c:formatCode>
                <c:ptCount val="1"/>
                <c:pt idx="0">
                  <c:v>8</c:v>
                </c:pt>
              </c:numCache>
            </c:numRef>
          </c:val>
          <c:extLst>
            <c:ext xmlns:c16="http://schemas.microsoft.com/office/drawing/2014/chart" uri="{C3380CC4-5D6E-409C-BE32-E72D297353CC}">
              <c16:uniqueId val="{00000000-5A0C-418F-96E6-BEB1BEF1BFE4}"/>
            </c:ext>
          </c:extLst>
        </c:ser>
        <c:dLbls>
          <c:showLegendKey val="0"/>
          <c:showVal val="0"/>
          <c:showCatName val="0"/>
          <c:showSerName val="0"/>
          <c:showPercent val="0"/>
          <c:showBubbleSize val="0"/>
        </c:dLbls>
        <c:gapWidth val="300"/>
        <c:overlap val="100"/>
        <c:serLines>
          <c:spPr>
            <a:ln w="9525" cap="flat" cmpd="sng" algn="ctr">
              <a:solidFill>
                <a:schemeClr val="tx1">
                  <a:lumMod val="35000"/>
                  <a:lumOff val="65000"/>
                </a:schemeClr>
              </a:solidFill>
              <a:round/>
            </a:ln>
            <a:effectLst/>
          </c:spPr>
        </c:serLines>
        <c:axId val="536100392"/>
        <c:axId val="536099080"/>
      </c:barChart>
      <c:catAx>
        <c:axId val="327738528"/>
        <c:scaling>
          <c:orientation val="minMax"/>
        </c:scaling>
        <c:delete val="1"/>
        <c:axPos val="l"/>
        <c:numFmt formatCode="General" sourceLinked="1"/>
        <c:majorTickMark val="none"/>
        <c:minorTickMark val="none"/>
        <c:tickLblPos val="nextTo"/>
        <c:crossAx val="327740824"/>
        <c:crosses val="autoZero"/>
        <c:auto val="1"/>
        <c:lblAlgn val="ctr"/>
        <c:lblOffset val="100"/>
        <c:noMultiLvlLbl val="0"/>
      </c:catAx>
      <c:valAx>
        <c:axId val="327740824"/>
        <c:scaling>
          <c:orientation val="minMax"/>
        </c:scaling>
        <c:delete val="0"/>
        <c:axPos val="b"/>
        <c:majorGridlines>
          <c:spPr>
            <a:ln w="9525" cap="flat" cmpd="sng" algn="ctr">
              <a:solidFill>
                <a:schemeClr val="tx1">
                  <a:lumMod val="15000"/>
                  <a:lumOff val="85000"/>
                </a:schemeClr>
              </a:solidFill>
              <a:round/>
            </a:ln>
            <a:effectLst/>
          </c:spPr>
        </c:majorGridlines>
        <c:numFmt formatCode="h:mm;@" sourceLinked="0"/>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bg1">
                    <a:lumMod val="50000"/>
                  </a:schemeClr>
                </a:solidFill>
                <a:latin typeface="+mn-lt"/>
                <a:ea typeface="+mn-ea"/>
                <a:cs typeface="+mn-cs"/>
              </a:defRPr>
            </a:pPr>
            <a:endParaRPr lang="en-US"/>
          </a:p>
        </c:txPr>
        <c:crossAx val="327738528"/>
        <c:crosses val="autoZero"/>
        <c:crossBetween val="between"/>
      </c:valAx>
      <c:valAx>
        <c:axId val="536099080"/>
        <c:scaling>
          <c:orientation val="minMax"/>
          <c:max val="18"/>
          <c:min val="1"/>
        </c:scaling>
        <c:delete val="1"/>
        <c:axPos val="t"/>
        <c:numFmt formatCode="General" sourceLinked="1"/>
        <c:majorTickMark val="out"/>
        <c:minorTickMark val="none"/>
        <c:tickLblPos val="nextTo"/>
        <c:crossAx val="536100392"/>
        <c:crosses val="max"/>
        <c:crossBetween val="between"/>
      </c:valAx>
      <c:catAx>
        <c:axId val="536100392"/>
        <c:scaling>
          <c:orientation val="minMax"/>
        </c:scaling>
        <c:delete val="1"/>
        <c:axPos val="l"/>
        <c:majorTickMark val="out"/>
        <c:minorTickMark val="none"/>
        <c:tickLblPos val="nextTo"/>
        <c:crossAx val="53609908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2.28451762220356E-2"/>
          <c:y val="0.12520321997228859"/>
          <c:w val="0.95807621542796839"/>
          <c:h val="0.61075152403776356"/>
        </c:manualLayout>
      </c:layout>
      <c:barChart>
        <c:barDir val="bar"/>
        <c:grouping val="stacked"/>
        <c:varyColors val="0"/>
        <c:ser>
          <c:idx val="0"/>
          <c:order val="0"/>
          <c:spPr>
            <a:solidFill>
              <a:schemeClr val="accent1"/>
            </a:solidFill>
            <a:ln>
              <a:noFill/>
            </a:ln>
            <a:effectLst/>
          </c:spPr>
          <c:invertIfNegative val="0"/>
          <c:dPt>
            <c:idx val="0"/>
            <c:invertIfNegative val="0"/>
            <c:bubble3D val="0"/>
            <c:spPr>
              <a:solidFill>
                <a:srgbClr val="6495ED"/>
              </a:solidFill>
              <a:ln>
                <a:noFill/>
              </a:ln>
              <a:effectLst/>
            </c:spPr>
            <c:extLst>
              <c:ext xmlns:c16="http://schemas.microsoft.com/office/drawing/2014/chart" uri="{C3380CC4-5D6E-409C-BE32-E72D297353CC}">
                <c16:uniqueId val="{00000004-2628-4E5C-B3A5-945D95AE8026}"/>
              </c:ext>
            </c:extLst>
          </c:dPt>
          <c:dPt>
            <c:idx val="1"/>
            <c:invertIfNegative val="0"/>
            <c:bubble3D val="0"/>
            <c:spPr>
              <a:solidFill>
                <a:srgbClr val="90EE90"/>
              </a:solidFill>
              <a:ln>
                <a:noFill/>
              </a:ln>
              <a:effectLst/>
            </c:spPr>
            <c:extLst>
              <c:ext xmlns:c16="http://schemas.microsoft.com/office/drawing/2014/chart" uri="{C3380CC4-5D6E-409C-BE32-E72D297353CC}">
                <c16:uniqueId val="{00000009-2628-4E5C-B3A5-945D95AE802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'Hourly Graph and Eff'!$F$29:$F$30</c:f>
              <c:strCache>
                <c:ptCount val="2"/>
                <c:pt idx="0">
                  <c:v>Target %</c:v>
                </c:pt>
                <c:pt idx="1">
                  <c:v>Avg. %</c:v>
                </c:pt>
              </c:strCache>
            </c:strRef>
          </c:cat>
          <c:val>
            <c:numRef>
              <c:f>'Hourly Graph and Eff'!$G$29:$G$30</c:f>
              <c:numCache>
                <c:formatCode>0%</c:formatCode>
                <c:ptCount val="2"/>
                <c:pt idx="0">
                  <c:v>0.85</c:v>
                </c:pt>
                <c:pt idx="1">
                  <c:v>0.55000000000000004</c:v>
                </c:pt>
              </c:numCache>
            </c:numRef>
          </c:val>
          <c:extLst>
            <c:ext xmlns:c16="http://schemas.microsoft.com/office/drawing/2014/chart" uri="{C3380CC4-5D6E-409C-BE32-E72D297353CC}">
              <c16:uniqueId val="{00000000-2628-4E5C-B3A5-945D95AE8026}"/>
            </c:ext>
          </c:extLst>
        </c:ser>
        <c:dLbls>
          <c:showLegendKey val="0"/>
          <c:showVal val="0"/>
          <c:showCatName val="0"/>
          <c:showSerName val="0"/>
          <c:showPercent val="0"/>
          <c:showBubbleSize val="0"/>
        </c:dLbls>
        <c:gapWidth val="17"/>
        <c:overlap val="100"/>
        <c:axId val="656425968"/>
        <c:axId val="656416128"/>
      </c:barChart>
      <c:catAx>
        <c:axId val="656425968"/>
        <c:scaling>
          <c:orientation val="minMax"/>
        </c:scaling>
        <c:delete val="1"/>
        <c:axPos val="l"/>
        <c:numFmt formatCode="General" sourceLinked="1"/>
        <c:majorTickMark val="none"/>
        <c:minorTickMark val="none"/>
        <c:tickLblPos val="nextTo"/>
        <c:crossAx val="656416128"/>
        <c:crosses val="autoZero"/>
        <c:auto val="1"/>
        <c:lblAlgn val="ctr"/>
        <c:lblOffset val="100"/>
        <c:noMultiLvlLbl val="0"/>
      </c:catAx>
      <c:valAx>
        <c:axId val="65641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42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0" baseline="0">
                <a:solidFill>
                  <a:srgbClr val="283376"/>
                </a:solidFill>
                <a:latin typeface="+mn-lt"/>
                <a:ea typeface="+mn-ea"/>
                <a:cs typeface="+mn-cs"/>
              </a:defRPr>
            </a:pPr>
            <a:r>
              <a:rPr lang="en-US" sz="1200" b="1">
                <a:solidFill>
                  <a:srgbClr val="283376"/>
                </a:solidFill>
              </a:rPr>
              <a:t>Top</a:t>
            </a:r>
            <a:r>
              <a:rPr lang="en-US" sz="1200" b="1" baseline="0">
                <a:solidFill>
                  <a:srgbClr val="283376"/>
                </a:solidFill>
              </a:rPr>
              <a:t> 10 Reasons by Duration </a:t>
            </a:r>
            <a:endParaRPr lang="en-US" sz="1200" b="1">
              <a:solidFill>
                <a:srgbClr val="283376"/>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rgbClr val="283376"/>
              </a:solidFill>
              <a:latin typeface="+mn-lt"/>
              <a:ea typeface="+mn-ea"/>
              <a:cs typeface="+mn-cs"/>
            </a:defRPr>
          </a:pPr>
          <a:endParaRPr lang="en-US"/>
        </a:p>
      </c:txPr>
    </c:title>
    <c:autoTitleDeleted val="0"/>
    <c:plotArea>
      <c:layout>
        <c:manualLayout>
          <c:layoutTarget val="inner"/>
          <c:xMode val="edge"/>
          <c:yMode val="edge"/>
          <c:x val="0.41497222222222224"/>
          <c:y val="0.16041666666666668"/>
          <c:w val="0.53968066491688538"/>
          <c:h val="0.6262806211723535"/>
        </c:manualLayout>
      </c:layout>
      <c:barChart>
        <c:barDir val="bar"/>
        <c:grouping val="stacked"/>
        <c:varyColors val="0"/>
        <c:ser>
          <c:idx val="0"/>
          <c:order val="0"/>
          <c:spPr>
            <a:solidFill>
              <a:schemeClr val="accent1"/>
            </a:solidFill>
            <a:ln>
              <a:noFill/>
            </a:ln>
            <a:effectLst/>
          </c:spPr>
          <c:invertIfNegative val="0"/>
          <c:cat>
            <c:strRef>
              <c:f>'Hourly Graph and Eff'!$H$34:$R$34</c:f>
              <c:strCache>
                <c:ptCount val="11"/>
                <c:pt idx="0">
                  <c:v>Glue nozzles</c:v>
                </c:pt>
                <c:pt idx="1">
                  <c:v>Clean folding device (bad material , skewed box)</c:v>
                </c:pt>
                <c:pt idx="2">
                  <c:v>Tray packer fault</c:v>
                </c:pt>
                <c:pt idx="3">
                  <c:v>Open flaps</c:v>
                </c:pt>
                <c:pt idx="4">
                  <c:v>Adjusting box shape</c:v>
                </c:pt>
                <c:pt idx="5">
                  <c:v>Blank Transport</c:v>
                </c:pt>
                <c:pt idx="6">
                  <c:v>Blank magazine main drive fault</c:v>
                </c:pt>
                <c:pt idx="7">
                  <c:v>Suction caps</c:v>
                </c:pt>
                <c:pt idx="8">
                  <c:v>Waiting for Palletizer/main conveyor</c:v>
                </c:pt>
                <c:pt idx="9">
                  <c:v>PLC C`omm FAILURE</c:v>
                </c:pt>
                <c:pt idx="10">
                  <c:v>CIP </c:v>
                </c:pt>
              </c:strCache>
            </c:strRef>
          </c:cat>
          <c:val>
            <c:numRef>
              <c:f>'Hourly Graph and Eff'!$H$34:$R$34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0F38-4545-86F5-CD3B84D775D2}"/>
            </c:ext>
          </c:extLst>
        </c:ser>
        <c:ser>
          <c:idx val="1"/>
          <c:order val="1"/>
          <c:tx>
            <c:v>Duration</c:v>
          </c:tx>
          <c:spPr>
            <a:solidFill>
              <a:srgbClr val="FF0000"/>
            </a:solidFill>
            <a:ln>
              <a:solidFill>
                <a:schemeClr val="accent1">
                  <a:alpha val="98000"/>
                </a:schemeClr>
              </a:solidFill>
            </a:ln>
            <a:effectLst/>
          </c:spPr>
          <c:invertIfNegative val="0"/>
          <c:dPt>
            <c:idx val="10"/>
            <c:invertIfNegative val="0"/>
            <c:bubble3D val="0"/>
            <c:spPr>
              <a:solidFill>
                <a:srgbClr val="FF66CC"/>
              </a:solidFill>
              <a:ln>
                <a:solidFill>
                  <a:schemeClr val="accent1">
                    <a:alpha val="98000"/>
                  </a:schemeClr>
                </a:solidFill>
              </a:ln>
              <a:effectLst/>
            </c:spPr>
            <c:extLst>
              <c:ext xmlns:c16="http://schemas.microsoft.com/office/drawing/2014/chart" uri="{C3380CC4-5D6E-409C-BE32-E72D297353CC}">
                <c16:uniqueId val="{0000001F-0F38-4545-86F5-CD3B84D775D2}"/>
              </c:ext>
            </c:extLst>
          </c:dPt>
          <c:dLbls>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'Hourly Graph and Eff'!$H$34:$R$34</c:f>
              <c:strCache>
                <c:ptCount val="11"/>
                <c:pt idx="0">
                  <c:v>Glue nozzles</c:v>
                </c:pt>
                <c:pt idx="1">
                  <c:v>Clean folding device (bad material , skewed box)</c:v>
                </c:pt>
                <c:pt idx="2">
                  <c:v>Tray packer fault</c:v>
                </c:pt>
                <c:pt idx="3">
                  <c:v>Open flaps</c:v>
                </c:pt>
                <c:pt idx="4">
                  <c:v>Adjusting box shape</c:v>
                </c:pt>
                <c:pt idx="5">
                  <c:v>Blank Transport</c:v>
                </c:pt>
                <c:pt idx="6">
                  <c:v>Blank magazine main drive fault</c:v>
                </c:pt>
                <c:pt idx="7">
                  <c:v>Suction caps</c:v>
                </c:pt>
                <c:pt idx="8">
                  <c:v>Waiting for Palletizer/main conveyor</c:v>
                </c:pt>
                <c:pt idx="9">
                  <c:v>PLC C`omm FAILURE</c:v>
                </c:pt>
                <c:pt idx="10">
                  <c:v>CIP </c:v>
                </c:pt>
              </c:strCache>
            </c:strRef>
          </c:cat>
          <c:val>
            <c:numRef>
              <c:f>'Hourly Graph and Eff'!$H$35:$R$35</c:f>
              <c:numCache>
                <c:formatCode>h:mm:ss;@</c:formatCode>
                <c:ptCount val="11"/>
                <c:pt idx="0">
                  <c:v>8.4606481481481494E-3</c:v>
                </c:pt>
                <c:pt idx="1">
                  <c:v>5.0254629629629628E-2</c:v>
                </c:pt>
                <c:pt idx="2">
                  <c:v>9.1921296296296306E-2</c:v>
                </c:pt>
                <c:pt idx="3">
                  <c:v>0.13358796296296299</c:v>
                </c:pt>
                <c:pt idx="4">
                  <c:v>0.17525462962963001</c:v>
                </c:pt>
                <c:pt idx="5">
                  <c:v>0.216921296296296</c:v>
                </c:pt>
                <c:pt idx="6">
                  <c:v>0.25858796296296299</c:v>
                </c:pt>
                <c:pt idx="7">
                  <c:v>0.30025462962963001</c:v>
                </c:pt>
                <c:pt idx="8">
                  <c:v>0.34192129629629597</c:v>
                </c:pt>
                <c:pt idx="9">
                  <c:v>0.38358796296296299</c:v>
                </c:pt>
                <c:pt idx="10">
                  <c:v>0.42525462962963001</c:v>
                </c:pt>
              </c:numCache>
            </c:numRef>
          </c:val>
          <c:extLst>
            <c:ext xmlns:c16="http://schemas.microsoft.com/office/drawing/2014/chart" uri="{C3380CC4-5D6E-409C-BE32-E72D297353CC}">
              <c16:uniqueId val="{00000001-0F38-4545-86F5-CD3B84D775D2}"/>
            </c:ext>
          </c:extLst>
        </c:ser>
        <c:dLbls>
          <c:showLegendKey val="0"/>
          <c:showVal val="0"/>
          <c:showCatName val="0"/>
          <c:showSerName val="0"/>
          <c:showPercent val="0"/>
          <c:showBubbleSize val="0"/>
        </c:dLbls>
        <c:gapWidth val="46"/>
        <c:overlap val="100"/>
        <c:axId val="631439720"/>
        <c:axId val="631440048"/>
      </c:barChart>
      <c:catAx>
        <c:axId val="631439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440048"/>
        <c:crosses val="autoZero"/>
        <c:auto val="1"/>
        <c:lblAlgn val="ctr"/>
        <c:lblOffset val="100"/>
        <c:noMultiLvlLbl val="0"/>
      </c:catAx>
      <c:valAx>
        <c:axId val="631440048"/>
        <c:scaling>
          <c:orientation val="minMax"/>
        </c:scaling>
        <c:delete val="0"/>
        <c:axPos val="b"/>
        <c:majorGridlines>
          <c:spPr>
            <a:ln w="9525" cap="flat" cmpd="sng" algn="ctr">
              <a:solidFill>
                <a:schemeClr val="tx1">
                  <a:lumMod val="15000"/>
                  <a:lumOff val="85000"/>
                </a:schemeClr>
              </a:solidFill>
              <a:round/>
            </a:ln>
            <a:effectLst/>
          </c:spPr>
        </c:majorGridlines>
        <c:numFmt formatCode="h:mm;@"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439720"/>
        <c:crossesAt val="1"/>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0" baseline="0">
                <a:solidFill>
                  <a:srgbClr val="283376"/>
                </a:solidFill>
                <a:latin typeface="+mn-lt"/>
                <a:ea typeface="+mn-ea"/>
                <a:cs typeface="+mn-cs"/>
              </a:defRPr>
            </a:pPr>
            <a:r>
              <a:rPr lang="en-US" sz="1200" b="1">
                <a:solidFill>
                  <a:srgbClr val="283376"/>
                </a:solidFill>
              </a:rPr>
              <a:t>Top</a:t>
            </a:r>
            <a:r>
              <a:rPr lang="en-US" sz="1200" b="1" baseline="0">
                <a:solidFill>
                  <a:srgbClr val="283376"/>
                </a:solidFill>
              </a:rPr>
              <a:t> 10 Reasons by Count </a:t>
            </a:r>
            <a:endParaRPr lang="en-US" sz="1200" b="1">
              <a:solidFill>
                <a:srgbClr val="283376"/>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rgbClr val="283376"/>
              </a:solidFill>
              <a:latin typeface="+mn-lt"/>
              <a:ea typeface="+mn-ea"/>
              <a:cs typeface="+mn-cs"/>
            </a:defRPr>
          </a:pPr>
          <a:endParaRPr lang="en-US"/>
        </a:p>
      </c:txPr>
    </c:title>
    <c:autoTitleDeleted val="0"/>
    <c:plotArea>
      <c:layout>
        <c:manualLayout>
          <c:layoutTarget val="inner"/>
          <c:xMode val="edge"/>
          <c:yMode val="edge"/>
          <c:x val="0.41497222222222224"/>
          <c:y val="0.16041666666666668"/>
          <c:w val="0.53968066491688538"/>
          <c:h val="0.6262806211723535"/>
        </c:manualLayout>
      </c:layout>
      <c:barChart>
        <c:barDir val="bar"/>
        <c:grouping val="stacked"/>
        <c:varyColors val="0"/>
        <c:ser>
          <c:idx val="0"/>
          <c:order val="0"/>
          <c:spPr>
            <a:solidFill>
              <a:schemeClr val="accent1"/>
            </a:solidFill>
            <a:ln>
              <a:noFill/>
            </a:ln>
            <a:effectLst/>
          </c:spPr>
          <c:invertIfNegative val="0"/>
          <c:cat>
            <c:strRef>
              <c:f>'Hourly Graph and Eff'!$H$34:$R$34</c:f>
              <c:strCache>
                <c:ptCount val="11"/>
                <c:pt idx="0">
                  <c:v>Glue nozzles</c:v>
                </c:pt>
                <c:pt idx="1">
                  <c:v>Clean folding device (bad material , skewed box)</c:v>
                </c:pt>
                <c:pt idx="2">
                  <c:v>Tray packer fault</c:v>
                </c:pt>
                <c:pt idx="3">
                  <c:v>Open flaps</c:v>
                </c:pt>
                <c:pt idx="4">
                  <c:v>Adjusting box shape</c:v>
                </c:pt>
                <c:pt idx="5">
                  <c:v>Blank Transport</c:v>
                </c:pt>
                <c:pt idx="6">
                  <c:v>Blank magazine main drive fault</c:v>
                </c:pt>
                <c:pt idx="7">
                  <c:v>Suction caps</c:v>
                </c:pt>
                <c:pt idx="8">
                  <c:v>Waiting for Palletizer/main conveyor</c:v>
                </c:pt>
                <c:pt idx="9">
                  <c:v>PLC C`omm FAILURE</c:v>
                </c:pt>
                <c:pt idx="10">
                  <c:v>CIP </c:v>
                </c:pt>
              </c:strCache>
            </c:strRef>
          </c:cat>
          <c:val>
            <c:numRef>
              <c:f>'Hourly Graph and Eff'!$H$40:$R$40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8A5-4A28-A83C-71583AF62EAA}"/>
            </c:ext>
          </c:extLst>
        </c:ser>
        <c:ser>
          <c:idx val="1"/>
          <c:order val="1"/>
          <c:tx>
            <c:v>Duration</c:v>
          </c:tx>
          <c:spPr>
            <a:solidFill>
              <a:srgbClr val="FF0000"/>
            </a:solidFill>
            <a:ln>
              <a:noFill/>
            </a:ln>
            <a:effectLst/>
          </c:spPr>
          <c:invertIfNegative val="0"/>
          <c:dPt>
            <c:idx val="10"/>
            <c:invertIfNegative val="0"/>
            <c:bubble3D val="0"/>
            <c:spPr>
              <a:solidFill>
                <a:srgbClr val="FF66CC"/>
              </a:solidFill>
              <a:ln>
                <a:noFill/>
              </a:ln>
              <a:effectLst/>
            </c:spPr>
            <c:extLst>
              <c:ext xmlns:c16="http://schemas.microsoft.com/office/drawing/2014/chart" uri="{C3380CC4-5D6E-409C-BE32-E72D297353CC}">
                <c16:uniqueId val="{00000002-28A5-4A28-A83C-71583AF62EAA}"/>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'Hourly Graph and Eff'!$H$34:$R$34</c:f>
              <c:strCache>
                <c:ptCount val="11"/>
                <c:pt idx="0">
                  <c:v>Glue nozzles</c:v>
                </c:pt>
                <c:pt idx="1">
                  <c:v>Clean folding device (bad material , skewed box)</c:v>
                </c:pt>
                <c:pt idx="2">
                  <c:v>Tray packer fault</c:v>
                </c:pt>
                <c:pt idx="3">
                  <c:v>Open flaps</c:v>
                </c:pt>
                <c:pt idx="4">
                  <c:v>Adjusting box shape</c:v>
                </c:pt>
                <c:pt idx="5">
                  <c:v>Blank Transport</c:v>
                </c:pt>
                <c:pt idx="6">
                  <c:v>Blank magazine main drive fault</c:v>
                </c:pt>
                <c:pt idx="7">
                  <c:v>Suction caps</c:v>
                </c:pt>
                <c:pt idx="8">
                  <c:v>Waiting for Palletizer/main conveyor</c:v>
                </c:pt>
                <c:pt idx="9">
                  <c:v>PLC C`omm FAILURE</c:v>
                </c:pt>
                <c:pt idx="10">
                  <c:v>CIP </c:v>
                </c:pt>
              </c:strCache>
            </c:strRef>
          </c:cat>
          <c:val>
            <c:numRef>
              <c:f>'Hourly Graph and Eff'!$H$41:$R$41</c:f>
              <c:numCache>
                <c:formatCode>0.00</c:formatCode>
                <c:ptCount val="11"/>
                <c:pt idx="0">
                  <c:v>1</c:v>
                </c:pt>
                <c:pt idx="1">
                  <c:v>2</c:v>
                </c:pt>
                <c:pt idx="2">
                  <c:v>4</c:v>
                </c:pt>
                <c:pt idx="3">
                  <c:v>3</c:v>
                </c:pt>
                <c:pt idx="4">
                  <c:v>2</c:v>
                </c:pt>
                <c:pt idx="5">
                  <c:v>6</c:v>
                </c:pt>
                <c:pt idx="6">
                  <c:v>1</c:v>
                </c:pt>
                <c:pt idx="7">
                  <c:v>8</c:v>
                </c:pt>
                <c:pt idx="8">
                  <c:v>9</c:v>
                </c:pt>
                <c:pt idx="9">
                  <c:v>12</c:v>
                </c:pt>
                <c:pt idx="10">
                  <c:v>1</c:v>
                </c:pt>
              </c:numCache>
            </c:numRef>
          </c:val>
          <c:extLst>
            <c:ext xmlns:c16="http://schemas.microsoft.com/office/drawing/2014/chart" uri="{C3380CC4-5D6E-409C-BE32-E72D297353CC}">
              <c16:uniqueId val="{00000003-28A5-4A28-A83C-71583AF62EAA}"/>
            </c:ext>
          </c:extLst>
        </c:ser>
        <c:dLbls>
          <c:showLegendKey val="0"/>
          <c:showVal val="0"/>
          <c:showCatName val="0"/>
          <c:showSerName val="0"/>
          <c:showPercent val="0"/>
          <c:showBubbleSize val="0"/>
        </c:dLbls>
        <c:gapWidth val="46"/>
        <c:overlap val="100"/>
        <c:axId val="631439720"/>
        <c:axId val="631440048"/>
      </c:barChart>
      <c:catAx>
        <c:axId val="631439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440048"/>
        <c:crosses val="autoZero"/>
        <c:auto val="1"/>
        <c:lblAlgn val="ctr"/>
        <c:lblOffset val="100"/>
        <c:noMultiLvlLbl val="0"/>
      </c:catAx>
      <c:valAx>
        <c:axId val="631440048"/>
        <c:scaling>
          <c:orientation val="minMax"/>
        </c:scaling>
        <c:delete val="0"/>
        <c:axPos val="b"/>
        <c:majorGridlines>
          <c:spPr>
            <a:ln w="9525" cap="flat" cmpd="sng" algn="ctr">
              <a:solidFill>
                <a:schemeClr val="tx1">
                  <a:lumMod val="15000"/>
                  <a:lumOff val="85000"/>
                </a:schemeClr>
              </a:solidFill>
              <a:round/>
            </a:ln>
            <a:effectLst/>
          </c:spPr>
        </c:majorGridlines>
        <c:numFmt formatCode="h:mm;@"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439720"/>
        <c:crossesAt val="1"/>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6243237121059191E-2"/>
          <c:y val="6.6885052507399484E-2"/>
          <c:w val="0.96472477721601302"/>
          <c:h val="0.8224611209685837"/>
        </c:manualLayout>
      </c:layout>
      <c:barChart>
        <c:barDir val="bar"/>
        <c:grouping val="stacked"/>
        <c:varyColors val="0"/>
        <c:ser>
          <c:idx val="13"/>
          <c:order val="0"/>
          <c:spPr>
            <a:solidFill>
              <a:schemeClr val="accent2">
                <a:lumMod val="80000"/>
                <a:lumOff val="20000"/>
              </a:schemeClr>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5FA7-4AE9-B9A1-7E1ADC824615}"/>
              </c:ext>
            </c:extLst>
          </c:dPt>
          <c:dLbls>
            <c:dLbl>
              <c:idx val="0"/>
              <c:layout>
                <c:manualLayout>
                  <c:x val="0.3760196623023129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FA7-4AE9-B9A1-7E1ADC8246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'Hourly Graph and Eff'!$G$46</c:f>
              <c:numCache>
                <c:formatCode>h:mm:ss;@</c:formatCode>
                <c:ptCount val="1"/>
                <c:pt idx="0">
                  <c:v>0.85</c:v>
                </c:pt>
              </c:numCache>
            </c:numRef>
          </c:val>
          <c:extLst>
            <c:ext xmlns:c16="http://schemas.microsoft.com/office/drawing/2014/chart" uri="{C3380CC4-5D6E-409C-BE32-E72D297353CC}">
              <c16:uniqueId val="{00000002-5FA7-4AE9-B9A1-7E1ADC824615}"/>
            </c:ext>
          </c:extLst>
        </c:ser>
        <c:dLbls>
          <c:showLegendKey val="0"/>
          <c:showVal val="0"/>
          <c:showCatName val="0"/>
          <c:showSerName val="0"/>
          <c:showPercent val="0"/>
          <c:showBubbleSize val="0"/>
        </c:dLbls>
        <c:gapWidth val="300"/>
        <c:overlap val="100"/>
        <c:serLines>
          <c:spPr>
            <a:ln w="9525" cap="flat" cmpd="sng" algn="ctr">
              <a:solidFill>
                <a:schemeClr val="tx1">
                  <a:lumMod val="35000"/>
                  <a:lumOff val="65000"/>
                </a:schemeClr>
              </a:solidFill>
              <a:round/>
            </a:ln>
            <a:effectLst/>
          </c:spPr>
        </c:serLines>
        <c:axId val="327738528"/>
        <c:axId val="327740824"/>
      </c:barChart>
      <c:barChart>
        <c:barDir val="bar"/>
        <c:grouping val="stacked"/>
        <c:varyColors val="0"/>
        <c:ser>
          <c:idx val="14"/>
          <c:order val="1"/>
          <c:spPr>
            <a:solidFill>
              <a:srgbClr val="0099FF"/>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6-5FA7-4AE9-B9A1-7E1ADC8246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'Hourly Graph and Eff'!$G$47</c:f>
              <c:numCache>
                <c:formatCode>h:mm:ss;@</c:formatCode>
                <c:ptCount val="1"/>
                <c:pt idx="0">
                  <c:v>0.55000000000000004</c:v>
                </c:pt>
              </c:numCache>
            </c:numRef>
          </c:val>
          <c:extLst>
            <c:ext xmlns:c16="http://schemas.microsoft.com/office/drawing/2014/chart" uri="{C3380CC4-5D6E-409C-BE32-E72D297353CC}">
              <c16:uniqueId val="{00000003-5FA7-4AE9-B9A1-7E1ADC824615}"/>
            </c:ext>
          </c:extLst>
        </c:ser>
        <c:ser>
          <c:idx val="0"/>
          <c:order val="2"/>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'Hourly Graph and Eff'!$G$48</c:f>
              <c:numCache>
                <c:formatCode>h:mm:ss;@</c:formatCode>
                <c:ptCount val="1"/>
                <c:pt idx="0">
                  <c:v>0.16666666666666666</c:v>
                </c:pt>
              </c:numCache>
            </c:numRef>
          </c:val>
          <c:extLst>
            <c:ext xmlns:c16="http://schemas.microsoft.com/office/drawing/2014/chart" uri="{C3380CC4-5D6E-409C-BE32-E72D297353CC}">
              <c16:uniqueId val="{00000004-5FA7-4AE9-B9A1-7E1ADC824615}"/>
            </c:ext>
          </c:extLst>
        </c:ser>
        <c:dLbls>
          <c:showLegendKey val="0"/>
          <c:showVal val="0"/>
          <c:showCatName val="0"/>
          <c:showSerName val="0"/>
          <c:showPercent val="0"/>
          <c:showBubbleSize val="0"/>
        </c:dLbls>
        <c:gapWidth val="300"/>
        <c:overlap val="100"/>
        <c:serLines>
          <c:spPr>
            <a:ln w="9525" cap="flat" cmpd="sng" algn="ctr">
              <a:solidFill>
                <a:schemeClr val="tx1">
                  <a:lumMod val="35000"/>
                  <a:lumOff val="65000"/>
                </a:schemeClr>
              </a:solidFill>
              <a:round/>
            </a:ln>
            <a:effectLst/>
          </c:spPr>
        </c:serLines>
        <c:axId val="536100392"/>
        <c:axId val="536099080"/>
      </c:barChart>
      <c:catAx>
        <c:axId val="327738528"/>
        <c:scaling>
          <c:orientation val="minMax"/>
        </c:scaling>
        <c:delete val="1"/>
        <c:axPos val="l"/>
        <c:numFmt formatCode="0%" sourceLinked="1"/>
        <c:majorTickMark val="none"/>
        <c:minorTickMark val="none"/>
        <c:tickLblPos val="nextTo"/>
        <c:crossAx val="327740824"/>
        <c:crosses val="autoZero"/>
        <c:auto val="1"/>
        <c:lblAlgn val="ctr"/>
        <c:lblOffset val="100"/>
        <c:noMultiLvlLbl val="0"/>
      </c:catAx>
      <c:valAx>
        <c:axId val="327740824"/>
        <c:scaling>
          <c:orientation val="minMax"/>
        </c:scaling>
        <c:delete val="0"/>
        <c:axPos val="b"/>
        <c:majorGridlines>
          <c:spPr>
            <a:ln w="9525" cap="flat" cmpd="sng" algn="ctr">
              <a:solidFill>
                <a:schemeClr val="tx1">
                  <a:lumMod val="15000"/>
                  <a:lumOff val="85000"/>
                </a:schemeClr>
              </a:solidFill>
              <a:round/>
            </a:ln>
            <a:effectLst/>
          </c:spPr>
        </c:majorGridlines>
        <c:numFmt formatCode="h:mm;@" sourceLinked="0"/>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bg1">
                    <a:lumMod val="50000"/>
                  </a:schemeClr>
                </a:solidFill>
                <a:latin typeface="+mn-lt"/>
                <a:ea typeface="+mn-ea"/>
                <a:cs typeface="+mn-cs"/>
              </a:defRPr>
            </a:pPr>
            <a:endParaRPr lang="en-US"/>
          </a:p>
        </c:txPr>
        <c:crossAx val="327738528"/>
        <c:crosses val="autoZero"/>
        <c:crossBetween val="between"/>
      </c:valAx>
      <c:valAx>
        <c:axId val="536099080"/>
        <c:scaling>
          <c:orientation val="minMax"/>
          <c:max val="18"/>
          <c:min val="1"/>
        </c:scaling>
        <c:delete val="1"/>
        <c:axPos val="t"/>
        <c:numFmt formatCode="h:mm:ss;@" sourceLinked="1"/>
        <c:majorTickMark val="out"/>
        <c:minorTickMark val="none"/>
        <c:tickLblPos val="nextTo"/>
        <c:crossAx val="536100392"/>
        <c:crosses val="max"/>
        <c:crossBetween val="between"/>
      </c:valAx>
      <c:catAx>
        <c:axId val="536100392"/>
        <c:scaling>
          <c:orientation val="minMax"/>
        </c:scaling>
        <c:delete val="1"/>
        <c:axPos val="l"/>
        <c:majorTickMark val="out"/>
        <c:minorTickMark val="none"/>
        <c:tickLblPos val="nextTo"/>
        <c:crossAx val="53609908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6243237121059191E-2"/>
          <c:y val="6.6885052507399484E-2"/>
          <c:w val="0.96472477721601302"/>
          <c:h val="0.8224611209685837"/>
        </c:manualLayout>
      </c:layout>
      <c:barChart>
        <c:barDir val="bar"/>
        <c:grouping val="stacked"/>
        <c:varyColors val="0"/>
        <c:ser>
          <c:idx val="13"/>
          <c:order val="0"/>
          <c:spPr>
            <a:solidFill>
              <a:schemeClr val="accent2">
                <a:lumMod val="80000"/>
                <a:lumOff val="20000"/>
              </a:schemeClr>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5-06D1-4B19-87C3-3605878C418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'Hourly Graph and Eff'!$G$46</c:f>
              <c:numCache>
                <c:formatCode>h:mm:ss;@</c:formatCode>
                <c:ptCount val="1"/>
                <c:pt idx="0">
                  <c:v>0.85</c:v>
                </c:pt>
              </c:numCache>
            </c:numRef>
          </c:val>
          <c:extLst>
            <c:ext xmlns:c16="http://schemas.microsoft.com/office/drawing/2014/chart" uri="{C3380CC4-5D6E-409C-BE32-E72D297353CC}">
              <c16:uniqueId val="{0000000C-9959-474F-A494-6282FB84DAC6}"/>
            </c:ext>
          </c:extLst>
        </c:ser>
        <c:dLbls>
          <c:showLegendKey val="0"/>
          <c:showVal val="0"/>
          <c:showCatName val="0"/>
          <c:showSerName val="0"/>
          <c:showPercent val="0"/>
          <c:showBubbleSize val="0"/>
        </c:dLbls>
        <c:gapWidth val="300"/>
        <c:overlap val="100"/>
        <c:serLines>
          <c:spPr>
            <a:ln w="9525" cap="flat" cmpd="sng" algn="ctr">
              <a:solidFill>
                <a:schemeClr val="tx1">
                  <a:lumMod val="35000"/>
                  <a:lumOff val="65000"/>
                </a:schemeClr>
              </a:solidFill>
              <a:round/>
            </a:ln>
            <a:effectLst/>
          </c:spPr>
        </c:serLines>
        <c:axId val="327738528"/>
        <c:axId val="327740824"/>
      </c:barChart>
      <c:barChart>
        <c:barDir val="bar"/>
        <c:grouping val="stacked"/>
        <c:varyColors val="0"/>
        <c:ser>
          <c:idx val="14"/>
          <c:order val="1"/>
          <c:spPr>
            <a:solidFill>
              <a:srgbClr val="0099FF"/>
            </a:solidFill>
            <a:ln>
              <a:noFill/>
            </a:ln>
            <a:effectLst/>
          </c:spPr>
          <c:invertIfNegative val="0"/>
          <c:val>
            <c:numRef>
              <c:f>'Hourly Graph and Eff'!$G$47</c:f>
              <c:numCache>
                <c:formatCode>h:mm:ss;@</c:formatCode>
                <c:ptCount val="1"/>
                <c:pt idx="0">
                  <c:v>0.55000000000000004</c:v>
                </c:pt>
              </c:numCache>
            </c:numRef>
          </c:val>
          <c:extLst>
            <c:ext xmlns:c16="http://schemas.microsoft.com/office/drawing/2014/chart" uri="{C3380CC4-5D6E-409C-BE32-E72D297353CC}">
              <c16:uniqueId val="{0000000E-9959-474F-A494-6282FB84DAC6}"/>
            </c:ext>
          </c:extLst>
        </c:ser>
        <c:ser>
          <c:idx val="0"/>
          <c:order val="2"/>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'Hourly Graph and Eff'!$G$48</c:f>
              <c:numCache>
                <c:formatCode>h:mm:ss;@</c:formatCode>
                <c:ptCount val="1"/>
                <c:pt idx="0">
                  <c:v>0.16666666666666666</c:v>
                </c:pt>
              </c:numCache>
            </c:numRef>
          </c:val>
          <c:extLst>
            <c:ext xmlns:c16="http://schemas.microsoft.com/office/drawing/2014/chart" uri="{C3380CC4-5D6E-409C-BE32-E72D297353CC}">
              <c16:uniqueId val="{00000010-9959-474F-A494-6282FB84DAC6}"/>
            </c:ext>
          </c:extLst>
        </c:ser>
        <c:dLbls>
          <c:showLegendKey val="0"/>
          <c:showVal val="0"/>
          <c:showCatName val="0"/>
          <c:showSerName val="0"/>
          <c:showPercent val="0"/>
          <c:showBubbleSize val="0"/>
        </c:dLbls>
        <c:gapWidth val="300"/>
        <c:overlap val="100"/>
        <c:serLines>
          <c:spPr>
            <a:ln w="9525" cap="flat" cmpd="sng" algn="ctr">
              <a:solidFill>
                <a:schemeClr val="tx1">
                  <a:lumMod val="35000"/>
                  <a:lumOff val="65000"/>
                </a:schemeClr>
              </a:solidFill>
              <a:round/>
            </a:ln>
            <a:effectLst/>
          </c:spPr>
        </c:serLines>
        <c:axId val="536100392"/>
        <c:axId val="536099080"/>
      </c:barChart>
      <c:catAx>
        <c:axId val="327738528"/>
        <c:scaling>
          <c:orientation val="minMax"/>
        </c:scaling>
        <c:delete val="1"/>
        <c:axPos val="l"/>
        <c:numFmt formatCode="0%" sourceLinked="1"/>
        <c:majorTickMark val="none"/>
        <c:minorTickMark val="none"/>
        <c:tickLblPos val="nextTo"/>
        <c:crossAx val="327740824"/>
        <c:crosses val="autoZero"/>
        <c:auto val="1"/>
        <c:lblAlgn val="ctr"/>
        <c:lblOffset val="100"/>
        <c:noMultiLvlLbl val="0"/>
      </c:catAx>
      <c:valAx>
        <c:axId val="327740824"/>
        <c:scaling>
          <c:orientation val="minMax"/>
        </c:scaling>
        <c:delete val="0"/>
        <c:axPos val="b"/>
        <c:majorGridlines>
          <c:spPr>
            <a:ln w="9525" cap="flat" cmpd="sng" algn="ctr">
              <a:solidFill>
                <a:schemeClr val="tx1">
                  <a:lumMod val="15000"/>
                  <a:lumOff val="85000"/>
                </a:schemeClr>
              </a:solidFill>
              <a:round/>
            </a:ln>
            <a:effectLst/>
          </c:spPr>
        </c:majorGridlines>
        <c:numFmt formatCode="h:mm;@" sourceLinked="0"/>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bg1">
                    <a:lumMod val="50000"/>
                  </a:schemeClr>
                </a:solidFill>
                <a:latin typeface="+mn-lt"/>
                <a:ea typeface="+mn-ea"/>
                <a:cs typeface="+mn-cs"/>
              </a:defRPr>
            </a:pPr>
            <a:endParaRPr lang="en-US"/>
          </a:p>
        </c:txPr>
        <c:crossAx val="327738528"/>
        <c:crosses val="autoZero"/>
        <c:crossBetween val="between"/>
      </c:valAx>
      <c:valAx>
        <c:axId val="536099080"/>
        <c:scaling>
          <c:orientation val="minMax"/>
          <c:max val="18"/>
          <c:min val="1"/>
        </c:scaling>
        <c:delete val="1"/>
        <c:axPos val="t"/>
        <c:numFmt formatCode="h:mm:ss;@" sourceLinked="1"/>
        <c:majorTickMark val="out"/>
        <c:minorTickMark val="none"/>
        <c:tickLblPos val="nextTo"/>
        <c:crossAx val="536100392"/>
        <c:crosses val="max"/>
        <c:crossBetween val="between"/>
      </c:valAx>
      <c:catAx>
        <c:axId val="536100392"/>
        <c:scaling>
          <c:orientation val="minMax"/>
        </c:scaling>
        <c:delete val="1"/>
        <c:axPos val="l"/>
        <c:majorTickMark val="out"/>
        <c:minorTickMark val="none"/>
        <c:tickLblPos val="nextTo"/>
        <c:crossAx val="53609908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DT Min</cx:v>
        </cx:txData>
      </cx:tx>
      <cx:txPr>
        <a:bodyPr spcFirstLastPara="1" vertOverflow="ellipsis" horzOverflow="overflow" wrap="square" lIns="0" tIns="0" rIns="0" bIns="0" anchor="ctr" anchorCtr="1"/>
        <a:lstStyle/>
        <a:p>
          <a:pPr algn="ctr" rtl="0">
            <a:defRPr sz="1100"/>
          </a:pPr>
          <a:r>
            <a:rPr lang="en-US" sz="1100" b="0" i="0" u="none" strike="noStrike" baseline="0">
              <a:solidFill>
                <a:sysClr val="windowText" lastClr="000000">
                  <a:lumMod val="75000"/>
                  <a:lumOff val="25000"/>
                </a:sysClr>
              </a:solidFill>
              <a:latin typeface="Calibri" panose="020F0502020204030204"/>
            </a:rPr>
            <a:t>DT Min</a:t>
          </a:r>
        </a:p>
      </cx:txPr>
    </cx:title>
    <cx:plotArea>
      <cx:plotAreaRegion>
        <cx:series layoutId="clusteredColumn" uniqueId="{C503CC9D-531F-4F1F-905F-646C92034058}">
          <cx:tx>
            <cx:txData>
              <cx:f>_xlchart.v1.11</cx:f>
              <cx:v/>
            </cx:txData>
          </cx:tx>
          <cx:spPr>
            <a:pattFill prst="pct60">
              <a:fgClr>
                <a:srgbClr val="FF0000"/>
              </a:fgClr>
              <a:bgClr>
                <a:schemeClr val="bg1"/>
              </a:bgClr>
            </a:pattFill>
          </cx:spPr>
          <cx:dataLabels pos="outEnd">
            <cx:numFmt formatCode="#,##0" sourceLinked="0"/>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9412E269-A52F-4515-B221-A014FA11BA5D}">
          <cx:axisId val="2"/>
        </cx:series>
      </cx:plotAreaRegion>
      <cx:axis id="0">
        <cx:catScaling gapWidth="0.600000024"/>
        <cx:tickLabels/>
        <cx:txPr>
          <a:bodyPr spcFirstLastPara="1" vertOverflow="ellipsis" horzOverflow="overflow" wrap="square" lIns="0" tIns="0" rIns="0" bIns="0" anchor="ctr" anchorCtr="1"/>
          <a:lstStyle/>
          <a:p>
            <a:pPr algn="ctr" rtl="0">
              <a:defRPr sz="700"/>
            </a:pPr>
            <a:endParaRPr lang="en-US" sz="700" b="0" i="0" u="none" strike="noStrike" baseline="0">
              <a:solidFill>
                <a:srgbClr val="332467">
                  <a:lumMod val="65000"/>
                  <a:lumOff val="35000"/>
                </a:srgbClr>
              </a:solidFill>
              <a:latin typeface="Arial"/>
            </a:endParaRPr>
          </a:p>
        </cx:txPr>
      </cx:axis>
      <cx:axis id="1">
        <cx:valScaling/>
        <cx:majorGridlines/>
        <cx:tickLabels/>
        <cx:numFmt formatCode="#,##0" sourceLinked="0"/>
      </cx:axis>
      <cx:axis id="2">
        <cx:valScaling max="1" min="0"/>
        <cx:units unit="percentage"/>
        <cx:tickLabels/>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Top#1 Processing</cx:v>
        </cx:txData>
      </cx:tx>
      <cx:txPr>
        <a:bodyPr spcFirstLastPara="1" vertOverflow="ellipsis" horzOverflow="overflow" wrap="square" lIns="0" tIns="0" rIns="0" bIns="0" anchor="ctr" anchorCtr="1"/>
        <a:lstStyle/>
        <a:p>
          <a:pPr algn="ctr" rtl="0">
            <a:defRPr sz="1100"/>
          </a:pPr>
          <a:r>
            <a:rPr lang="en-US" sz="1100" b="0" i="0" u="none" strike="noStrike" baseline="0">
              <a:solidFill>
                <a:sysClr val="windowText" lastClr="000000">
                  <a:lumMod val="75000"/>
                  <a:lumOff val="25000"/>
                </a:sysClr>
              </a:solidFill>
              <a:latin typeface="Calibri" panose="020F0502020204030204"/>
            </a:rPr>
            <a:t>Top#1 Processing</a:t>
          </a:r>
        </a:p>
      </cx:txPr>
    </cx:title>
    <cx:plotArea>
      <cx:plotAreaRegion>
        <cx:series layoutId="clusteredColumn" uniqueId="{C503CC9D-531F-4F1F-905F-646C92034058}">
          <cx:spPr>
            <a:pattFill prst="pct60">
              <a:fgClr>
                <a:srgbClr val="FF0000"/>
              </a:fgClr>
              <a:bgClr>
                <a:schemeClr val="bg1"/>
              </a:bgClr>
            </a:pattFill>
          </cx:spPr>
          <cx:dataLabels pos="outEnd">
            <cx:numFmt formatCode="#,##0" sourceLinked="0"/>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9412E269-A52F-4515-B221-A014FA11BA5D}">
          <cx:axisId val="2"/>
        </cx:series>
      </cx:plotAreaRegion>
      <cx:axis id="0">
        <cx:catScaling gapWidth="0.600000024"/>
        <cx:tickLabels/>
        <cx:txPr>
          <a:bodyPr spcFirstLastPara="1" vertOverflow="ellipsis" horzOverflow="overflow" wrap="square" lIns="0" tIns="0" rIns="0" bIns="0" anchor="ctr" anchorCtr="1"/>
          <a:lstStyle/>
          <a:p>
            <a:pPr algn="ctr" rtl="0">
              <a:defRPr sz="800"/>
            </a:pPr>
            <a:endParaRPr lang="en-US" sz="800" b="0" i="0" u="none" strike="noStrike" baseline="0">
              <a:solidFill>
                <a:srgbClr val="332467">
                  <a:lumMod val="65000"/>
                  <a:lumOff val="35000"/>
                </a:srgbClr>
              </a:solidFill>
              <a:latin typeface="Arial"/>
            </a:endParaRPr>
          </a:p>
        </cx:txPr>
      </cx:axis>
      <cx:axis id="1">
        <cx:valScaling/>
        <cx:majorGridlines/>
        <cx:tickLabels/>
        <cx:numFmt formatCode="#,##0" sourceLinked="0"/>
      </cx:axis>
      <cx:axis id="2" hidden="1">
        <cx:valScaling max="1" min="0"/>
        <cx:units unit="percentage"/>
        <cx:tickLabels/>
      </cx:axis>
    </cx:plotArea>
  </cx:chart>
  <cx:spPr>
    <a:noFill/>
    <a:ln>
      <a:noFill/>
    </a:ln>
  </cx:spPr>
  <cx:clrMapOvr bg1="lt1" tx1="dk1" bg2="lt2" tx2="dk2" accent1="accent1" accent2="accent2" accent3="accent3" accent4="accent4" accent5="accent5" accent6="accent6" hlink="hlink" folHlink="folHlink"/>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val">
        <cx:f>_xlchart.v1.14</cx:f>
      </cx:numDim>
    </cx:data>
  </cx:chartData>
  <cx:chart>
    <cx:title pos="t" align="ctr" overlay="0">
      <cx:tx>
        <cx:txData>
          <cx:v>Top#2 Fillers</cx:v>
        </cx:txData>
      </cx:tx>
      <cx:txPr>
        <a:bodyPr spcFirstLastPara="1" vertOverflow="ellipsis" horzOverflow="overflow" wrap="square" lIns="0" tIns="0" rIns="0" bIns="0" anchor="ctr" anchorCtr="1"/>
        <a:lstStyle/>
        <a:p>
          <a:pPr algn="ctr" rtl="0">
            <a:defRPr sz="1100"/>
          </a:pPr>
          <a:r>
            <a:rPr lang="en-US" sz="1100" b="0" i="0" u="none" strike="noStrike" baseline="0">
              <a:solidFill>
                <a:sysClr val="windowText" lastClr="000000">
                  <a:lumMod val="75000"/>
                  <a:lumOff val="25000"/>
                </a:sysClr>
              </a:solidFill>
              <a:latin typeface="Calibri" panose="020F0502020204030204"/>
            </a:rPr>
            <a:t>Top#2 Fillers</a:t>
          </a:r>
        </a:p>
      </cx:txPr>
    </cx:title>
    <cx:plotArea>
      <cx:plotAreaRegion>
        <cx:series layoutId="clusteredColumn" uniqueId="{C503CC9D-531F-4F1F-905F-646C92034058}">
          <cx:spPr>
            <a:pattFill prst="pct60">
              <a:fgClr>
                <a:srgbClr val="FF0000"/>
              </a:fgClr>
              <a:bgClr>
                <a:schemeClr val="bg1"/>
              </a:bgClr>
            </a:pattFill>
          </cx:spPr>
          <cx:dataLabels pos="outEnd">
            <cx:numFmt formatCode="#,##0" sourceLinked="0"/>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9412E269-A52F-4515-B221-A014FA11BA5D}">
          <cx:axisId val="2"/>
        </cx:series>
      </cx:plotAreaRegion>
      <cx:axis id="0">
        <cx:catScaling gapWidth="0.600000024"/>
        <cx:tickLabels/>
      </cx:axis>
      <cx:axis id="1">
        <cx:valScaling/>
        <cx:majorGridlines/>
        <cx:tickLabels/>
        <cx:numFmt formatCode="#,##0" sourceLinked="0"/>
      </cx:axis>
      <cx:axis id="2" hidden="1">
        <cx:valScaling max="1" min="0"/>
        <cx:units unit="percentage"/>
        <cx:tickLabels/>
      </cx:axis>
    </cx:plotArea>
  </cx:chart>
  <cx:spPr>
    <a:ln>
      <a:noFill/>
    </a:ln>
  </cx:spPr>
  <cx:clrMapOvr bg1="lt1" tx1="dk1" bg2="lt2" tx2="dk2" accent1="accent1" accent2="accent2" accent3="accent3" accent4="accent4" accent5="accent5" accent6="accent6" hlink="hlink" folHlink="folHlink"/>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_xlchart.v1.17</cx:f>
      </cx:strDim>
      <cx:numDim type="val">
        <cx:f>_xlchart.v1.18</cx:f>
      </cx:numDim>
    </cx:data>
  </cx:chartData>
  <cx:chart>
    <cx:title pos="t" align="ctr" overlay="0">
      <cx:tx>
        <cx:txData>
          <cx:v>Top#3 Conv/Palletizer</cx:v>
        </cx:txData>
      </cx:tx>
      <cx:txPr>
        <a:bodyPr spcFirstLastPara="1" vertOverflow="ellipsis" horzOverflow="overflow" wrap="square" lIns="0" tIns="0" rIns="0" bIns="0" anchor="ctr" anchorCtr="1"/>
        <a:lstStyle/>
        <a:p>
          <a:pPr algn="ctr" rtl="0">
            <a:defRPr sz="1100"/>
          </a:pPr>
          <a:r>
            <a:rPr lang="en-US" sz="1100" b="0" i="0" u="none" strike="noStrike" baseline="0">
              <a:solidFill>
                <a:sysClr val="windowText" lastClr="000000">
                  <a:lumMod val="75000"/>
                  <a:lumOff val="25000"/>
                </a:sysClr>
              </a:solidFill>
              <a:latin typeface="Calibri" panose="020F0502020204030204"/>
            </a:rPr>
            <a:t>Top#3 Conv/Palletizer</a:t>
          </a:r>
        </a:p>
      </cx:txPr>
    </cx:title>
    <cx:plotArea>
      <cx:plotAreaRegion>
        <cx:series layoutId="clusteredColumn" uniqueId="{C503CC9D-531F-4F1F-905F-646C92034058}">
          <cx:spPr>
            <a:pattFill prst="pct60">
              <a:fgClr>
                <a:srgbClr val="FF0000"/>
              </a:fgClr>
              <a:bgClr>
                <a:schemeClr val="bg1"/>
              </a:bgClr>
            </a:pattFill>
          </cx:spPr>
          <cx:dataLabels pos="outEnd">
            <cx:numFmt formatCode="#,##0" sourceLinked="0"/>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9412E269-A52F-4515-B221-A014FA11BA5D}">
          <cx:axisId val="2"/>
        </cx:series>
      </cx:plotAreaRegion>
      <cx:axis id="0">
        <cx:catScaling gapWidth="0.600000024"/>
        <cx:tickLabels/>
        <cx:txPr>
          <a:bodyPr spcFirstLastPara="1" vertOverflow="ellipsis" horzOverflow="overflow" wrap="square" lIns="0" tIns="0" rIns="0" bIns="0" anchor="ctr" anchorCtr="1"/>
          <a:lstStyle/>
          <a:p>
            <a:pPr algn="ctr" rtl="0">
              <a:defRPr sz="800"/>
            </a:pPr>
            <a:endParaRPr lang="en-US" sz="800" b="0" i="0" u="none" strike="noStrike" baseline="0">
              <a:solidFill>
                <a:srgbClr val="332467">
                  <a:lumMod val="65000"/>
                  <a:lumOff val="35000"/>
                </a:srgbClr>
              </a:solidFill>
              <a:latin typeface="Arial"/>
            </a:endParaRPr>
          </a:p>
        </cx:txPr>
      </cx:axis>
      <cx:axis id="1">
        <cx:valScaling/>
        <cx:majorGridlines/>
        <cx:tickLabels/>
      </cx:axis>
      <cx:axis id="2" hidden="1">
        <cx:valScaling max="1" min="0"/>
        <cx:units unit="percentage"/>
        <cx:tickLabels/>
      </cx:axis>
    </cx:plotArea>
  </cx:chart>
  <cx:spPr>
    <a:noFill/>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mailto:reliabilitycenter.mea@sig.biz"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7" Type="http://schemas.microsoft.com/office/2014/relationships/chartEx" Target="../charts/chartEx4.xml"/><Relationship Id="rId2" Type="http://schemas.openxmlformats.org/officeDocument/2006/relationships/image" Target="../media/image4.jpeg"/><Relationship Id="rId1" Type="http://schemas.openxmlformats.org/officeDocument/2006/relationships/image" Target="../media/image3.png"/><Relationship Id="rId6" Type="http://schemas.microsoft.com/office/2014/relationships/chartEx" Target="../charts/chartEx3.xml"/><Relationship Id="rId5" Type="http://schemas.microsoft.com/office/2014/relationships/chartEx" Target="../charts/chartEx2.xml"/><Relationship Id="rId4"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openxmlformats.org/officeDocument/2006/relationships/image" Target="../media/image5.jp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7.png"/><Relationship Id="rId5" Type="http://schemas.openxmlformats.org/officeDocument/2006/relationships/image" Target="../media/image6.emf"/><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8.png"/><Relationship Id="rId1" Type="http://schemas.openxmlformats.org/officeDocument/2006/relationships/image" Target="../media/image5.jpg"/><Relationship Id="rId5" Type="http://schemas.openxmlformats.org/officeDocument/2006/relationships/chart" Target="../charts/chart7.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133976</xdr:colOff>
      <xdr:row>10</xdr:row>
      <xdr:rowOff>22782</xdr:rowOff>
    </xdr:from>
    <xdr:to>
      <xdr:col>3</xdr:col>
      <xdr:colOff>1854530</xdr:colOff>
      <xdr:row>11</xdr:row>
      <xdr:rowOff>22782</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800726" y="1997632"/>
          <a:ext cx="1720554" cy="6540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6</xdr:col>
          <xdr:colOff>450850</xdr:colOff>
          <xdr:row>8</xdr:row>
          <xdr:rowOff>95250</xdr:rowOff>
        </xdr:from>
        <xdr:to>
          <xdr:col>9</xdr:col>
          <xdr:colOff>6350</xdr:colOff>
          <xdr:row>10</xdr:row>
          <xdr:rowOff>120650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Tech. Eff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444500</xdr:colOff>
          <xdr:row>10</xdr:row>
          <xdr:rowOff>158750</xdr:rowOff>
        </xdr:from>
        <xdr:to>
          <xdr:col>8</xdr:col>
          <xdr:colOff>685800</xdr:colOff>
          <xdr:row>10</xdr:row>
          <xdr:rowOff>438150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C0C0C0"/>
                  </a:solidFill>
                  <a:latin typeface="Arial"/>
                  <a:cs typeface="Arial"/>
                </a:rPr>
                <a:t>E+ Performance Indicators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444500</xdr:colOff>
          <xdr:row>3</xdr:row>
          <xdr:rowOff>6350</xdr:rowOff>
        </xdr:from>
        <xdr:to>
          <xdr:col>8</xdr:col>
          <xdr:colOff>685800</xdr:colOff>
          <xdr:row>4</xdr:row>
          <xdr:rowOff>88900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Overall Plant Performance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444500</xdr:colOff>
          <xdr:row>4</xdr:row>
          <xdr:rowOff>120650</xdr:rowOff>
        </xdr:from>
        <xdr:to>
          <xdr:col>8</xdr:col>
          <xdr:colOff>685800</xdr:colOff>
          <xdr:row>6</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Line Utilization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273050</xdr:colOff>
          <xdr:row>1</xdr:row>
          <xdr:rowOff>292100</xdr:rowOff>
        </xdr:from>
        <xdr:to>
          <xdr:col>9</xdr:col>
          <xdr:colOff>146050</xdr:colOff>
          <xdr:row>10</xdr:row>
          <xdr:rowOff>577850</xdr:rowOff>
        </xdr:to>
        <xdr:sp macro="" textlink="">
          <xdr:nvSpPr>
            <xdr:cNvPr id="7174" name="Group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Control Panel</a:t>
              </a:r>
            </a:p>
          </xdr:txBody>
        </xdr:sp>
        <xdr:clientData/>
      </xdr:twoCellAnchor>
    </mc:Choice>
    <mc:Fallback/>
  </mc:AlternateContent>
  <xdr:twoCellAnchor>
    <xdr:from>
      <xdr:col>9</xdr:col>
      <xdr:colOff>567972</xdr:colOff>
      <xdr:row>1</xdr:row>
      <xdr:rowOff>177800</xdr:rowOff>
    </xdr:from>
    <xdr:to>
      <xdr:col>13</xdr:col>
      <xdr:colOff>644878</xdr:colOff>
      <xdr:row>10</xdr:row>
      <xdr:rowOff>650157</xdr:rowOff>
    </xdr:to>
    <xdr:sp macro="" textlink="">
      <xdr:nvSpPr>
        <xdr:cNvPr id="9" name="Rectangle 8">
          <a:hlinkClick xmlns:r="http://schemas.openxmlformats.org/officeDocument/2006/relationships" r:id="rId1"/>
          <a:extLst>
            <a:ext uri="{FF2B5EF4-FFF2-40B4-BE49-F238E27FC236}">
              <a16:creationId xmlns:a16="http://schemas.microsoft.com/office/drawing/2014/main" id="{00000000-0008-0000-0000-000009000000}"/>
            </a:ext>
          </a:extLst>
        </xdr:cNvPr>
        <xdr:cNvSpPr/>
      </xdr:nvSpPr>
      <xdr:spPr>
        <a:xfrm>
          <a:off x="5717822" y="558800"/>
          <a:ext cx="2820106" cy="2066207"/>
        </a:xfrm>
        <a:prstGeom prst="rect">
          <a:avLst/>
        </a:prstGeom>
      </xdr:spPr>
      <xdr:txBody>
        <a:bodyPr wrap="square">
          <a:spAutoFit/>
        </a:bodyPr>
        <a:lstStyle>
          <a:defPPr>
            <a:defRPr lang="en-US"/>
          </a:defPPr>
          <a:lvl1pPr marL="0" algn="l" defTabSz="1280160" rtl="0" eaLnBrk="1" latinLnBrk="0" hangingPunct="1">
            <a:defRPr sz="2500" kern="1200">
              <a:solidFill>
                <a:sysClr val="windowText" lastClr="000000"/>
              </a:solidFill>
              <a:latin typeface="Calibri"/>
              <a:ea typeface=""/>
              <a:cs typeface=""/>
            </a:defRPr>
          </a:lvl1pPr>
          <a:lvl2pPr marL="640080" algn="l" defTabSz="1280160" rtl="0" eaLnBrk="1" latinLnBrk="0" hangingPunct="1">
            <a:defRPr sz="2500" kern="1200">
              <a:solidFill>
                <a:sysClr val="windowText" lastClr="000000"/>
              </a:solidFill>
              <a:latin typeface="Calibri"/>
              <a:ea typeface=""/>
              <a:cs typeface=""/>
            </a:defRPr>
          </a:lvl2pPr>
          <a:lvl3pPr marL="1280160" algn="l" defTabSz="1280160" rtl="0" eaLnBrk="1" latinLnBrk="0" hangingPunct="1">
            <a:defRPr sz="2500" kern="1200">
              <a:solidFill>
                <a:sysClr val="windowText" lastClr="000000"/>
              </a:solidFill>
              <a:latin typeface="Calibri"/>
              <a:ea typeface=""/>
              <a:cs typeface=""/>
            </a:defRPr>
          </a:lvl3pPr>
          <a:lvl4pPr marL="1920240" algn="l" defTabSz="1280160" rtl="0" eaLnBrk="1" latinLnBrk="0" hangingPunct="1">
            <a:defRPr sz="2500" kern="1200">
              <a:solidFill>
                <a:sysClr val="windowText" lastClr="000000"/>
              </a:solidFill>
              <a:latin typeface="Calibri"/>
              <a:ea typeface=""/>
              <a:cs typeface=""/>
            </a:defRPr>
          </a:lvl4pPr>
          <a:lvl5pPr marL="2560320" algn="l" defTabSz="1280160" rtl="0" eaLnBrk="1" latinLnBrk="0" hangingPunct="1">
            <a:defRPr sz="2500" kern="1200">
              <a:solidFill>
                <a:sysClr val="windowText" lastClr="000000"/>
              </a:solidFill>
              <a:latin typeface="Calibri"/>
              <a:ea typeface=""/>
              <a:cs typeface=""/>
            </a:defRPr>
          </a:lvl5pPr>
          <a:lvl6pPr marL="3200400" algn="l" defTabSz="1280160" rtl="0" eaLnBrk="1" latinLnBrk="0" hangingPunct="1">
            <a:defRPr sz="2500" kern="1200">
              <a:solidFill>
                <a:sysClr val="windowText" lastClr="000000"/>
              </a:solidFill>
              <a:latin typeface="Calibri"/>
              <a:ea typeface=""/>
              <a:cs typeface=""/>
            </a:defRPr>
          </a:lvl6pPr>
          <a:lvl7pPr marL="3840480" algn="l" defTabSz="1280160" rtl="0" eaLnBrk="1" latinLnBrk="0" hangingPunct="1">
            <a:defRPr sz="2500" kern="1200">
              <a:solidFill>
                <a:sysClr val="windowText" lastClr="000000"/>
              </a:solidFill>
              <a:latin typeface="Calibri"/>
              <a:ea typeface=""/>
              <a:cs typeface=""/>
            </a:defRPr>
          </a:lvl7pPr>
          <a:lvl8pPr marL="4480560" algn="l" defTabSz="1280160" rtl="0" eaLnBrk="1" latinLnBrk="0" hangingPunct="1">
            <a:defRPr sz="2500" kern="1200">
              <a:solidFill>
                <a:sysClr val="windowText" lastClr="000000"/>
              </a:solidFill>
              <a:latin typeface="Calibri"/>
              <a:ea typeface=""/>
              <a:cs typeface=""/>
            </a:defRPr>
          </a:lvl8pPr>
          <a:lvl9pPr marL="5120640" algn="l" defTabSz="1280160" rtl="0" eaLnBrk="1" latinLnBrk="0" hangingPunct="1">
            <a:defRPr sz="2500" kern="1200">
              <a:solidFill>
                <a:sysClr val="windowText" lastClr="000000"/>
              </a:solidFill>
              <a:latin typeface="Calibri"/>
              <a:ea typeface=""/>
              <a:cs typeface=""/>
            </a:defRPr>
          </a:lvl9pPr>
        </a:lstStyle>
        <a:p>
          <a:pPr marL="0" marR="0" lvl="0" indent="0" algn="l" defTabSz="1280160" rtl="0" eaLnBrk="1" fontAlgn="auto" latinLnBrk="0" hangingPunct="1">
            <a:lnSpc>
              <a:spcPct val="100000"/>
            </a:lnSpc>
            <a:spcBef>
              <a:spcPts val="0"/>
            </a:spcBef>
            <a:spcAft>
              <a:spcPts val="0"/>
            </a:spcAft>
            <a:buClrTx/>
            <a:buSzTx/>
            <a:buFontTx/>
            <a:buNone/>
            <a:tabLst/>
            <a:defRPr/>
          </a:pPr>
          <a:r>
            <a:rPr kumimoji="0" lang="en-US" sz="700" b="0" i="0" u="none" strike="noStrike" kern="1200" cap="none" spc="0" normalizeH="0" baseline="0" noProof="0">
              <a:ln>
                <a:noFill/>
              </a:ln>
              <a:solidFill>
                <a:sysClr val="window" lastClr="FFFFFF">
                  <a:lumMod val="50000"/>
                </a:sysClr>
              </a:solidFill>
              <a:effectLst/>
              <a:uLnTx/>
              <a:uFillTx/>
              <a:latin typeface="Calibri" panose="020F0502020204030204"/>
            </a:rPr>
            <a:t>Confidentiality</a:t>
          </a:r>
        </a:p>
        <a:p>
          <a:pPr marL="0" marR="0" lvl="0" indent="0" algn="just" defTabSz="1280160" rtl="0" eaLnBrk="1" fontAlgn="auto" latinLnBrk="0" hangingPunct="1">
            <a:lnSpc>
              <a:spcPct val="100000"/>
            </a:lnSpc>
            <a:spcBef>
              <a:spcPts val="0"/>
            </a:spcBef>
            <a:spcAft>
              <a:spcPts val="0"/>
            </a:spcAft>
            <a:buClrTx/>
            <a:buSzTx/>
            <a:buFontTx/>
            <a:buNone/>
            <a:tabLst/>
            <a:defRPr/>
          </a:pPr>
          <a:r>
            <a:rPr kumimoji="0" lang="en-US" sz="700" b="0" i="0" u="none" strike="noStrike" kern="1200" cap="none" spc="0" normalizeH="0" baseline="0" noProof="0">
              <a:ln>
                <a:noFill/>
              </a:ln>
              <a:solidFill>
                <a:srgbClr val="7F7F7F"/>
              </a:solidFill>
              <a:effectLst/>
              <a:uLnTx/>
              <a:uFillTx/>
              <a:latin typeface="Calibri" panose="020F0502020204030204"/>
            </a:rPr>
            <a:t>Unless otherwise indicated, all information and other materials on this document (including information and its arrangement) is owned by or licensed to  SIG Combibloc MEA. All rights are reserved. This document or any portion of the document may not be reproduced, adapted, distributed, displayed, transmitted or otherwise exploited for any commercial purpose that is not expressly permitted by  SIG Combibloc. You may imprint, copy or temporarily store from our document. You must not alter anything. In particular you may not use a part of our document on any other document, or link any other document to our document, without our prior written permission. Nothing contained on this document should be construed as granting any license or right of use of any information displayed in the document without the express written consent of  SIG Combibloc MEA .</a:t>
          </a:r>
        </a:p>
        <a:p>
          <a:pPr marL="0" marR="0" lvl="0" indent="0" algn="l" defTabSz="1280160" rtl="0" eaLnBrk="1" fontAlgn="auto" latinLnBrk="0" hangingPunct="1">
            <a:lnSpc>
              <a:spcPct val="100000"/>
            </a:lnSpc>
            <a:spcBef>
              <a:spcPts val="0"/>
            </a:spcBef>
            <a:spcAft>
              <a:spcPts val="0"/>
            </a:spcAft>
            <a:buClrTx/>
            <a:buSzTx/>
            <a:buFontTx/>
            <a:buNone/>
            <a:tabLst/>
            <a:defRPr/>
          </a:pPr>
          <a:endParaRPr kumimoji="0" lang="en-US" sz="700" b="0" i="0" u="none" strike="noStrike" kern="1200" cap="none" spc="0" normalizeH="0" baseline="0" noProof="0">
            <a:ln>
              <a:noFill/>
            </a:ln>
            <a:solidFill>
              <a:srgbClr val="7F7F7F"/>
            </a:solidFill>
            <a:effectLst/>
            <a:uLnTx/>
            <a:uFillTx/>
            <a:latin typeface="Calibri" panose="020F0502020204030204"/>
          </a:endParaRPr>
        </a:p>
        <a:p>
          <a:pPr marL="0" marR="0" lvl="0" indent="0" algn="l" defTabSz="1280160" rtl="0" eaLnBrk="1" fontAlgn="auto" latinLnBrk="0" hangingPunct="1">
            <a:lnSpc>
              <a:spcPct val="100000"/>
            </a:lnSpc>
            <a:spcBef>
              <a:spcPts val="0"/>
            </a:spcBef>
            <a:spcAft>
              <a:spcPts val="0"/>
            </a:spcAft>
            <a:buClrTx/>
            <a:buSzTx/>
            <a:buFontTx/>
            <a:buNone/>
            <a:tabLst/>
            <a:defRPr/>
          </a:pPr>
          <a:r>
            <a:rPr kumimoji="0" lang="en-US" sz="700" b="0" i="0" u="none" strike="noStrike" kern="1200" cap="none" spc="0" normalizeH="0" baseline="0" noProof="0">
              <a:ln>
                <a:noFill/>
              </a:ln>
              <a:solidFill>
                <a:srgbClr val="7F7F7F"/>
              </a:solidFill>
              <a:effectLst/>
              <a:uLnTx/>
              <a:uFillTx/>
              <a:latin typeface="Calibri" panose="020F0502020204030204"/>
            </a:rPr>
            <a:t>For more info. please contact:- </a:t>
          </a:r>
        </a:p>
        <a:p>
          <a:pPr marL="0" marR="0" lvl="0" indent="0" algn="l" defTabSz="1280160" rtl="0" eaLnBrk="1" fontAlgn="auto" latinLnBrk="0" hangingPunct="1">
            <a:lnSpc>
              <a:spcPct val="100000"/>
            </a:lnSpc>
            <a:spcBef>
              <a:spcPts val="0"/>
            </a:spcBef>
            <a:spcAft>
              <a:spcPts val="0"/>
            </a:spcAft>
            <a:buClrTx/>
            <a:buSzTx/>
            <a:buFontTx/>
            <a:buNone/>
            <a:tabLst/>
            <a:defRPr/>
          </a:pPr>
          <a:r>
            <a:rPr kumimoji="0" lang="en-US" sz="700" b="0" i="0" u="none" strike="noStrike" kern="1200" cap="none" spc="0" normalizeH="0" baseline="0" noProof="0">
              <a:ln>
                <a:noFill/>
              </a:ln>
              <a:solidFill>
                <a:srgbClr val="7F7F7F"/>
              </a:solidFill>
              <a:effectLst/>
              <a:uLnTx/>
              <a:uFillTx/>
              <a:latin typeface="Calibri" panose="020F0502020204030204"/>
            </a:rPr>
            <a:t>SIG MEA Innovation and Reliability Center </a:t>
          </a:r>
          <a:endParaRPr kumimoji="0" lang="en-US" sz="700" b="0" i="0" u="none" strike="noStrike" kern="1200" cap="none" spc="0" normalizeH="0" baseline="0" noProof="0">
            <a:ln>
              <a:noFill/>
            </a:ln>
            <a:solidFill>
              <a:srgbClr val="FF0000"/>
            </a:solidFill>
            <a:effectLst/>
            <a:uLnTx/>
            <a:uFillTx/>
            <a:latin typeface="Calibri" panose="020F0502020204030204"/>
          </a:endParaRPr>
        </a:p>
        <a:p>
          <a:pPr marL="0" marR="0" lvl="0" indent="0" algn="l" defTabSz="1280160" rtl="0" eaLnBrk="1" fontAlgn="auto" latinLnBrk="0" hangingPunct="1">
            <a:lnSpc>
              <a:spcPct val="100000"/>
            </a:lnSpc>
            <a:spcBef>
              <a:spcPts val="0"/>
            </a:spcBef>
            <a:spcAft>
              <a:spcPts val="0"/>
            </a:spcAft>
            <a:buClrTx/>
            <a:buSzTx/>
            <a:buFontTx/>
            <a:buNone/>
            <a:tabLst/>
            <a:defRPr/>
          </a:pPr>
          <a:r>
            <a:rPr kumimoji="0" lang="en-US" sz="700" b="0" i="0" u="none" strike="noStrike" kern="1200" cap="none" spc="0" normalizeH="0" baseline="0" noProof="0">
              <a:ln>
                <a:noFill/>
              </a:ln>
              <a:solidFill>
                <a:srgbClr val="7F7F7F"/>
              </a:solidFill>
              <a:effectLst/>
              <a:uLnTx/>
              <a:uFillTx/>
              <a:latin typeface="Calibri" panose="020F0502020204030204"/>
            </a:rPr>
            <a:t> All rights belong to SIG Combibloc Company Ltd.© 2023</a:t>
          </a:r>
          <a:endParaRPr kumimoji="0" lang="en-US" sz="700" b="0" i="0" u="none" strike="noStrike" kern="1200" cap="none" spc="0" normalizeH="0" baseline="0" noProof="0">
            <a:ln>
              <a:noFill/>
            </a:ln>
            <a:solidFill>
              <a:sysClr val="windowText" lastClr="000000"/>
            </a:solidFill>
            <a:effectLst/>
            <a:uLnTx/>
            <a:uFillTx/>
            <a:latin typeface="Calibri" panose="020F0502020204030204"/>
          </a:endParaRPr>
        </a:p>
      </xdr:txBody>
    </xdr:sp>
    <xdr:clientData/>
  </xdr:twoCellAnchor>
  <xdr:twoCellAnchor editAs="oneCell">
    <xdr:from>
      <xdr:col>3</xdr:col>
      <xdr:colOff>228600</xdr:colOff>
      <xdr:row>10</xdr:row>
      <xdr:rowOff>57150</xdr:rowOff>
    </xdr:from>
    <xdr:to>
      <xdr:col>3</xdr:col>
      <xdr:colOff>1701800</xdr:colOff>
      <xdr:row>10</xdr:row>
      <xdr:rowOff>592858</xdr:rowOff>
    </xdr:to>
    <xdr:pic>
      <xdr:nvPicPr>
        <xdr:cNvPr id="10" name="Picture 9" descr="Lactalis : des pratiques fiscales à examiner de près">
          <a:extLst>
            <a:ext uri="{FF2B5EF4-FFF2-40B4-BE49-F238E27FC236}">
              <a16:creationId xmlns:a16="http://schemas.microsoft.com/office/drawing/2014/main" id="{00000000-0008-0000-0000-00000A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285" t="23232" r="12338" b="16162"/>
        <a:stretch/>
      </xdr:blipFill>
      <xdr:spPr bwMode="auto">
        <a:xfrm>
          <a:off x="895350" y="2032000"/>
          <a:ext cx="1473200" cy="535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6</xdr:col>
          <xdr:colOff>476250</xdr:colOff>
          <xdr:row>11</xdr:row>
          <xdr:rowOff>57150</xdr:rowOff>
        </xdr:from>
        <xdr:to>
          <xdr:col>9</xdr:col>
          <xdr:colOff>12700</xdr:colOff>
          <xdr:row>13</xdr:row>
          <xdr:rowOff>101600</xdr:rowOff>
        </xdr:to>
        <xdr:sp macro="" textlink="">
          <xdr:nvSpPr>
            <xdr:cNvPr id="7175" name="ToggleButton1"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19</xdr:col>
      <xdr:colOff>3175</xdr:colOff>
      <xdr:row>7</xdr:row>
      <xdr:rowOff>19050</xdr:rowOff>
    </xdr:from>
    <xdr:to>
      <xdr:col>20</xdr:col>
      <xdr:colOff>3175</xdr:colOff>
      <xdr:row>7</xdr:row>
      <xdr:rowOff>266700</xdr:rowOff>
    </xdr:to>
    <xdr:sp macro="" textlink="">
      <xdr:nvSpPr>
        <xdr:cNvPr id="4" name="Flèche droite 3">
          <a:extLst>
            <a:ext uri="{FF2B5EF4-FFF2-40B4-BE49-F238E27FC236}">
              <a16:creationId xmlns:a16="http://schemas.microsoft.com/office/drawing/2014/main" id="{00000000-0008-0000-0100-000004000000}"/>
            </a:ext>
          </a:extLst>
        </xdr:cNvPr>
        <xdr:cNvSpPr/>
      </xdr:nvSpPr>
      <xdr:spPr>
        <a:xfrm>
          <a:off x="7947025" y="1492250"/>
          <a:ext cx="431800" cy="247650"/>
        </a:xfrm>
        <a:prstGeom prst="rightArrow">
          <a:avLst/>
        </a:prstGeom>
        <a:solidFill>
          <a:srgbClr val="FF0000"/>
        </a:solid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fr-FR"/>
        </a:p>
      </xdr:txBody>
    </xdr:sp>
    <xdr:clientData/>
  </xdr:twoCellAnchor>
  <xdr:twoCellAnchor>
    <xdr:from>
      <xdr:col>19</xdr:col>
      <xdr:colOff>0</xdr:colOff>
      <xdr:row>9</xdr:row>
      <xdr:rowOff>0</xdr:rowOff>
    </xdr:from>
    <xdr:to>
      <xdr:col>20</xdr:col>
      <xdr:colOff>0</xdr:colOff>
      <xdr:row>10</xdr:row>
      <xdr:rowOff>0</xdr:rowOff>
    </xdr:to>
    <xdr:sp macro="" textlink="">
      <xdr:nvSpPr>
        <xdr:cNvPr id="5" name="Flèche droite 5">
          <a:extLst>
            <a:ext uri="{FF2B5EF4-FFF2-40B4-BE49-F238E27FC236}">
              <a16:creationId xmlns:a16="http://schemas.microsoft.com/office/drawing/2014/main" id="{00000000-0008-0000-0100-000005000000}"/>
            </a:ext>
          </a:extLst>
        </xdr:cNvPr>
        <xdr:cNvSpPr/>
      </xdr:nvSpPr>
      <xdr:spPr>
        <a:xfrm>
          <a:off x="7943850" y="1866900"/>
          <a:ext cx="431800" cy="254000"/>
        </a:xfrm>
        <a:prstGeom prst="rightArrow">
          <a:avLst/>
        </a:prstGeom>
        <a:solidFill>
          <a:srgbClr val="CCFFCC"/>
        </a:solidFill>
        <a:ln w="19050">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fr-FR"/>
        </a:p>
      </xdr:txBody>
    </xdr:sp>
    <xdr:clientData/>
  </xdr:twoCellAnchor>
  <xdr:twoCellAnchor editAs="oneCell">
    <xdr:from>
      <xdr:col>3</xdr:col>
      <xdr:colOff>31750</xdr:colOff>
      <xdr:row>1</xdr:row>
      <xdr:rowOff>184151</xdr:rowOff>
    </xdr:from>
    <xdr:to>
      <xdr:col>4</xdr:col>
      <xdr:colOff>278944</xdr:colOff>
      <xdr:row>2</xdr:row>
      <xdr:rowOff>239581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7800" y="311151"/>
          <a:ext cx="640894" cy="436430"/>
        </a:xfrm>
        <a:prstGeom prst="rect">
          <a:avLst/>
        </a:prstGeom>
      </xdr:spPr>
    </xdr:pic>
    <xdr:clientData/>
  </xdr:twoCellAnchor>
  <xdr:twoCellAnchor editAs="oneCell">
    <xdr:from>
      <xdr:col>20</xdr:col>
      <xdr:colOff>89646</xdr:colOff>
      <xdr:row>1</xdr:row>
      <xdr:rowOff>179294</xdr:rowOff>
    </xdr:from>
    <xdr:to>
      <xdr:col>24</xdr:col>
      <xdr:colOff>2667</xdr:colOff>
      <xdr:row>2</xdr:row>
      <xdr:rowOff>246529</xdr:rowOff>
    </xdr:to>
    <xdr:pic>
      <xdr:nvPicPr>
        <xdr:cNvPr id="8" name="Picture 7" descr="Lactalis : des pratiques fiscales à examiner de près">
          <a:extLst>
            <a:ext uri="{FF2B5EF4-FFF2-40B4-BE49-F238E27FC236}">
              <a16:creationId xmlns:a16="http://schemas.microsoft.com/office/drawing/2014/main" id="{00000000-0008-0000-0100-000008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285" t="23232" r="12338" b="16162"/>
        <a:stretch/>
      </xdr:blipFill>
      <xdr:spPr bwMode="auto">
        <a:xfrm>
          <a:off x="8465296" y="306294"/>
          <a:ext cx="1225924" cy="4482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54429</xdr:colOff>
      <xdr:row>14</xdr:row>
      <xdr:rowOff>154214</xdr:rowOff>
    </xdr:from>
    <xdr:to>
      <xdr:col>24</xdr:col>
      <xdr:colOff>117929</xdr:colOff>
      <xdr:row>15</xdr:row>
      <xdr:rowOff>18142</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36286</xdr:colOff>
      <xdr:row>14</xdr:row>
      <xdr:rowOff>27213</xdr:rowOff>
    </xdr:from>
    <xdr:to>
      <xdr:col>14</xdr:col>
      <xdr:colOff>1046</xdr:colOff>
      <xdr:row>14</xdr:row>
      <xdr:rowOff>2259046</xdr:rowOff>
    </xdr:to>
    <mc:AlternateContent xmlns:mc="http://schemas.openxmlformats.org/markup-compatibility/2006">
      <mc:Choice xmlns:cx1="http://schemas.microsoft.com/office/drawing/2015/9/8/chartex" Requires="cx1">
        <xdr:graphicFrame macro="">
          <xdr:nvGraphicFramePr>
            <xdr:cNvPr id="17" name="Chart 16">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9136" y="2852963"/>
              <a:ext cx="5178110" cy="223183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598716</xdr:colOff>
      <xdr:row>16</xdr:row>
      <xdr:rowOff>90715</xdr:rowOff>
    </xdr:from>
    <xdr:to>
      <xdr:col>9</xdr:col>
      <xdr:colOff>18146</xdr:colOff>
      <xdr:row>22</xdr:row>
      <xdr:rowOff>834573</xdr:rowOff>
    </xdr:to>
    <mc:AlternateContent xmlns:mc="http://schemas.openxmlformats.org/markup-compatibility/2006">
      <mc:Choice xmlns:cx1="http://schemas.microsoft.com/office/drawing/2015/9/8/chartex" Requires="cx1">
        <xdr:graphicFrame macro="">
          <xdr:nvGraphicFramePr>
            <xdr:cNvPr id="18" name="Chart 17">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052287" y="5451929"/>
              <a:ext cx="3038930" cy="150585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63501</xdr:colOff>
      <xdr:row>16</xdr:row>
      <xdr:rowOff>18144</xdr:rowOff>
    </xdr:from>
    <xdr:to>
      <xdr:col>16</xdr:col>
      <xdr:colOff>254000</xdr:colOff>
      <xdr:row>22</xdr:row>
      <xdr:rowOff>848181</xdr:rowOff>
    </xdr:to>
    <mc:AlternateContent xmlns:mc="http://schemas.openxmlformats.org/markup-compatibility/2006">
      <mc:Choice xmlns:cx1="http://schemas.microsoft.com/office/drawing/2015/9/8/chartex" Requires="cx1">
        <xdr:graphicFrame macro="">
          <xdr:nvGraphicFramePr>
            <xdr:cNvPr id="19" name="Chart 18">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4136572" y="5379358"/>
              <a:ext cx="3329214" cy="15920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371928</xdr:colOff>
      <xdr:row>15</xdr:row>
      <xdr:rowOff>226785</xdr:rowOff>
    </xdr:from>
    <xdr:to>
      <xdr:col>24</xdr:col>
      <xdr:colOff>181429</xdr:colOff>
      <xdr:row>23</xdr:row>
      <xdr:rowOff>226785</xdr:rowOff>
    </xdr:to>
    <mc:AlternateContent xmlns:mc="http://schemas.openxmlformats.org/markup-compatibility/2006">
      <mc:Choice xmlns:cx1="http://schemas.microsoft.com/office/drawing/2015/9/8/chartex" Requires="cx1">
        <xdr:graphicFrame macro="">
          <xdr:nvGraphicFramePr>
            <xdr:cNvPr id="20" name="Chart 19">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7583714" y="5343071"/>
              <a:ext cx="2830286" cy="185964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25</xdr:col>
          <xdr:colOff>63500</xdr:colOff>
          <xdr:row>1</xdr:row>
          <xdr:rowOff>12700</xdr:rowOff>
        </xdr:from>
        <xdr:to>
          <xdr:col>26</xdr:col>
          <xdr:colOff>234950</xdr:colOff>
          <xdr:row>1</xdr:row>
          <xdr:rowOff>323850</xdr:rowOff>
        </xdr:to>
        <xdr:sp macro="" textlink="">
          <xdr:nvSpPr>
            <xdr:cNvPr id="8273" name="Button 81" hidden="1">
              <a:extLst>
                <a:ext uri="{63B3BB69-23CF-44E3-9099-C40C66FF867C}">
                  <a14:compatExt spid="_x0000_s8273"/>
                </a:ext>
                <a:ext uri="{FF2B5EF4-FFF2-40B4-BE49-F238E27FC236}">
                  <a16:creationId xmlns:a16="http://schemas.microsoft.com/office/drawing/2014/main" id="{00000000-0008-0000-0100-000051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C0C0C0"/>
                  </a:solidFill>
                  <a:latin typeface="Arial"/>
                  <a:cs typeface="Arial"/>
                </a:rPr>
                <a:t>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81643</xdr:colOff>
      <xdr:row>29</xdr:row>
      <xdr:rowOff>18143</xdr:rowOff>
    </xdr:from>
    <xdr:to>
      <xdr:col>33</xdr:col>
      <xdr:colOff>707571</xdr:colOff>
      <xdr:row>40</xdr:row>
      <xdr:rowOff>117928</xdr:rowOff>
    </xdr:to>
    <xdr:graphicFrame macro="">
      <xdr:nvGraphicFramePr>
        <xdr:cNvPr id="16" name="Graphique 4">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272142</xdr:colOff>
      <xdr:row>16</xdr:row>
      <xdr:rowOff>167476</xdr:rowOff>
    </xdr:from>
    <xdr:to>
      <xdr:col>33</xdr:col>
      <xdr:colOff>734785</xdr:colOff>
      <xdr:row>28</xdr:row>
      <xdr:rowOff>136074</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6350</xdr:colOff>
      <xdr:row>20</xdr:row>
      <xdr:rowOff>108857</xdr:rowOff>
    </xdr:from>
    <xdr:to>
      <xdr:col>34</xdr:col>
      <xdr:colOff>0</xdr:colOff>
      <xdr:row>20</xdr:row>
      <xdr:rowOff>116928</xdr:rowOff>
    </xdr:to>
    <xdr:cxnSp macro="">
      <xdr:nvCxnSpPr>
        <xdr:cNvPr id="5" name="Straight Connector 4">
          <a:extLst>
            <a:ext uri="{FF2B5EF4-FFF2-40B4-BE49-F238E27FC236}">
              <a16:creationId xmlns:a16="http://schemas.microsoft.com/office/drawing/2014/main" id="{00000000-0008-0000-0200-000005000000}"/>
            </a:ext>
          </a:extLst>
        </xdr:cNvPr>
        <xdr:cNvCxnSpPr/>
      </xdr:nvCxnSpPr>
      <xdr:spPr>
        <a:xfrm flipV="1">
          <a:off x="1240064" y="3782786"/>
          <a:ext cx="9446079" cy="8071"/>
        </a:xfrm>
        <a:prstGeom prst="line">
          <a:avLst/>
        </a:prstGeom>
        <a:ln w="190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23</xdr:row>
      <xdr:rowOff>96962</xdr:rowOff>
    </xdr:from>
    <xdr:to>
      <xdr:col>34</xdr:col>
      <xdr:colOff>0</xdr:colOff>
      <xdr:row>23</xdr:row>
      <xdr:rowOff>127000</xdr:rowOff>
    </xdr:to>
    <xdr:cxnSp macro="">
      <xdr:nvCxnSpPr>
        <xdr:cNvPr id="7" name="Straight Connector 6">
          <a:extLst>
            <a:ext uri="{FF2B5EF4-FFF2-40B4-BE49-F238E27FC236}">
              <a16:creationId xmlns:a16="http://schemas.microsoft.com/office/drawing/2014/main" id="{00000000-0008-0000-0200-000007000000}"/>
            </a:ext>
          </a:extLst>
        </xdr:cNvPr>
        <xdr:cNvCxnSpPr/>
      </xdr:nvCxnSpPr>
      <xdr:spPr>
        <a:xfrm>
          <a:off x="1233714" y="4315176"/>
          <a:ext cx="9452429" cy="30038"/>
        </a:xfrm>
        <a:prstGeom prst="line">
          <a:avLst/>
        </a:prstGeom>
        <a:noFill/>
        <a:ln w="19050" cap="flat" cmpd="sng" algn="ctr">
          <a:solidFill>
            <a:sysClr val="window" lastClr="FFFFFF">
              <a:lumMod val="65000"/>
            </a:sysClr>
          </a:solidFill>
          <a:prstDash val="solid"/>
          <a:miter lim="800000"/>
        </a:ln>
        <a:effectLst/>
      </xdr:spPr>
    </xdr:cxnSp>
    <xdr:clientData/>
  </xdr:twoCellAnchor>
  <xdr:oneCellAnchor>
    <xdr:from>
      <xdr:col>18</xdr:col>
      <xdr:colOff>157092</xdr:colOff>
      <xdr:row>17</xdr:row>
      <xdr:rowOff>89866</xdr:rowOff>
    </xdr:from>
    <xdr:ext cx="952184" cy="31149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5427592" y="3219509"/>
          <a:ext cx="95218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bg1">
                  <a:lumMod val="50000"/>
                </a:schemeClr>
              </a:solidFill>
            </a:rPr>
            <a:t>Utlization </a:t>
          </a:r>
        </a:p>
      </xdr:txBody>
    </xdr:sp>
    <xdr:clientData/>
  </xdr:oneCellAnchor>
  <xdr:oneCellAnchor>
    <xdr:from>
      <xdr:col>18</xdr:col>
      <xdr:colOff>27249</xdr:colOff>
      <xdr:row>16</xdr:row>
      <xdr:rowOff>64582</xdr:rowOff>
    </xdr:from>
    <xdr:ext cx="1176989" cy="311496"/>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5297749" y="3012796"/>
          <a:ext cx="1176989" cy="311496"/>
        </a:xfrm>
        <a:prstGeom prst="rect">
          <a:avLst/>
        </a:prstGeom>
        <a:noFill/>
        <a:ln>
          <a:noFill/>
        </a:ln>
        <a:effectLst/>
      </xdr:spPr>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chemeClr val="accent1">
                  <a:lumMod val="75000"/>
                </a:schemeClr>
              </a:solidFill>
              <a:effectLst/>
              <a:uLnTx/>
              <a:uFillTx/>
              <a:latin typeface="Calibri" panose="020F0502020204030204"/>
              <a:ea typeface="+mn-ea"/>
              <a:cs typeface="+mn-cs"/>
            </a:rPr>
            <a:t>Line#1 - Filler</a:t>
          </a:r>
        </a:p>
      </xdr:txBody>
    </xdr:sp>
    <xdr:clientData/>
  </xdr:oneCellAnchor>
  <xdr:twoCellAnchor editAs="oneCell">
    <xdr:from>
      <xdr:col>38</xdr:col>
      <xdr:colOff>374517</xdr:colOff>
      <xdr:row>6</xdr:row>
      <xdr:rowOff>117475</xdr:rowOff>
    </xdr:from>
    <xdr:to>
      <xdr:col>41</xdr:col>
      <xdr:colOff>312510</xdr:colOff>
      <xdr:row>9</xdr:row>
      <xdr:rowOff>160294</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702588" y="1178832"/>
          <a:ext cx="1778132" cy="570323"/>
        </a:xfrm>
        <a:prstGeom prst="rect">
          <a:avLst/>
        </a:prstGeom>
      </xdr:spPr>
    </xdr:pic>
    <xdr:clientData/>
  </xdr:twoCellAnchor>
  <xdr:oneCellAnchor>
    <xdr:from>
      <xdr:col>5</xdr:col>
      <xdr:colOff>546655</xdr:colOff>
      <xdr:row>1</xdr:row>
      <xdr:rowOff>45297</xdr:rowOff>
    </xdr:from>
    <xdr:ext cx="4671472" cy="749821"/>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2050111" y="232062"/>
          <a:ext cx="467147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400" b="1">
              <a:solidFill>
                <a:schemeClr val="accent1">
                  <a:lumMod val="75000"/>
                </a:schemeClr>
              </a:solidFill>
            </a:rPr>
            <a:t>Line Utilization &amp; Tech.</a:t>
          </a:r>
          <a:r>
            <a:rPr lang="en-US" sz="2400" b="1" baseline="0">
              <a:solidFill>
                <a:schemeClr val="accent1">
                  <a:lumMod val="75000"/>
                </a:schemeClr>
              </a:solidFill>
            </a:rPr>
            <a:t> Eff Analysis</a:t>
          </a:r>
        </a:p>
        <a:p>
          <a:r>
            <a:rPr lang="en-US" sz="1800" b="0" baseline="0">
              <a:solidFill>
                <a:schemeClr val="accent1">
                  <a:lumMod val="75000"/>
                </a:schemeClr>
              </a:solidFill>
            </a:rPr>
            <a:t>PE SOUTH AFRICA - UHT PLANT</a:t>
          </a:r>
          <a:endParaRPr lang="en-US" sz="1800" b="0">
            <a:solidFill>
              <a:schemeClr val="accent1">
                <a:lumMod val="75000"/>
              </a:schemeClr>
            </a:solidFill>
          </a:endParaRPr>
        </a:p>
      </xdr:txBody>
    </xdr:sp>
    <xdr:clientData/>
  </xdr:oneCellAnchor>
  <xdr:twoCellAnchor>
    <xdr:from>
      <xdr:col>3</xdr:col>
      <xdr:colOff>162641</xdr:colOff>
      <xdr:row>5</xdr:row>
      <xdr:rowOff>126079</xdr:rowOff>
    </xdr:from>
    <xdr:to>
      <xdr:col>34</xdr:col>
      <xdr:colOff>167691</xdr:colOff>
      <xdr:row>5</xdr:row>
      <xdr:rowOff>126079</xdr:rowOff>
    </xdr:to>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flipV="1">
          <a:off x="500625" y="863498"/>
          <a:ext cx="9729768" cy="0"/>
        </a:xfrm>
        <a:prstGeom prst="line">
          <a:avLst/>
        </a:prstGeom>
        <a:noFill/>
        <a:ln w="19050" cap="flat" cmpd="sng" algn="ctr">
          <a:solidFill>
            <a:schemeClr val="accent1">
              <a:lumMod val="75000"/>
            </a:schemeClr>
          </a:solidFill>
          <a:prstDash val="solid"/>
          <a:miter lim="800000"/>
        </a:ln>
        <a:effectLst/>
      </xdr:spPr>
    </xdr:cxnSp>
    <xdr:clientData/>
  </xdr:twoCellAnchor>
  <xdr:twoCellAnchor>
    <xdr:from>
      <xdr:col>37</xdr:col>
      <xdr:colOff>0</xdr:colOff>
      <xdr:row>10</xdr:row>
      <xdr:rowOff>151423</xdr:rowOff>
    </xdr:from>
    <xdr:to>
      <xdr:col>42</xdr:col>
      <xdr:colOff>600809</xdr:colOff>
      <xdr:row>10</xdr:row>
      <xdr:rowOff>161192</xdr:rowOff>
    </xdr:to>
    <xdr:cxnSp macro="">
      <xdr:nvCxnSpPr>
        <xdr:cNvPr id="26" name="Straight Connector 25">
          <a:extLst>
            <a:ext uri="{FF2B5EF4-FFF2-40B4-BE49-F238E27FC236}">
              <a16:creationId xmlns:a16="http://schemas.microsoft.com/office/drawing/2014/main" id="{00000000-0008-0000-0200-00001A000000}"/>
            </a:ext>
          </a:extLst>
        </xdr:cNvPr>
        <xdr:cNvCxnSpPr/>
      </xdr:nvCxnSpPr>
      <xdr:spPr>
        <a:xfrm flipH="1">
          <a:off x="11669346" y="2007577"/>
          <a:ext cx="3653694" cy="9769"/>
        </a:xfrm>
        <a:prstGeom prst="line">
          <a:avLst/>
        </a:prstGeom>
        <a:noFill/>
        <a:ln w="19050" cap="flat" cmpd="sng" algn="ctr">
          <a:solidFill>
            <a:srgbClr val="4472C4">
              <a:lumMod val="75000"/>
            </a:srgbClr>
          </a:solidFill>
          <a:prstDash val="solid"/>
          <a:miter lim="800000"/>
        </a:ln>
        <a:effectLst/>
      </xdr:spPr>
    </xdr:cxnSp>
    <xdr:clientData/>
  </xdr:twoCellAnchor>
  <xdr:twoCellAnchor>
    <xdr:from>
      <xdr:col>3</xdr:col>
      <xdr:colOff>163285</xdr:colOff>
      <xdr:row>10</xdr:row>
      <xdr:rowOff>163286</xdr:rowOff>
    </xdr:from>
    <xdr:to>
      <xdr:col>34</xdr:col>
      <xdr:colOff>149110</xdr:colOff>
      <xdr:row>10</xdr:row>
      <xdr:rowOff>163286</xdr:rowOff>
    </xdr:to>
    <xdr:cxnSp macro="">
      <xdr:nvCxnSpPr>
        <xdr:cNvPr id="42" name="Straight Connector 41">
          <a:extLst>
            <a:ext uri="{FF2B5EF4-FFF2-40B4-BE49-F238E27FC236}">
              <a16:creationId xmlns:a16="http://schemas.microsoft.com/office/drawing/2014/main" id="{00000000-0008-0000-0200-00002A000000}"/>
            </a:ext>
          </a:extLst>
        </xdr:cNvPr>
        <xdr:cNvCxnSpPr/>
      </xdr:nvCxnSpPr>
      <xdr:spPr>
        <a:xfrm flipH="1">
          <a:off x="1106714" y="1977572"/>
          <a:ext cx="9728539" cy="0"/>
        </a:xfrm>
        <a:prstGeom prst="line">
          <a:avLst/>
        </a:prstGeom>
        <a:noFill/>
        <a:ln w="19050" cap="flat" cmpd="sng" algn="ctr">
          <a:solidFill>
            <a:srgbClr val="4472C4">
              <a:lumMod val="75000"/>
            </a:srgbClr>
          </a:solidFill>
          <a:prstDash val="solid"/>
          <a:miter lim="800000"/>
        </a:ln>
        <a:effectLst/>
      </xdr:spPr>
    </xdr:cxnSp>
    <xdr:clientData/>
  </xdr:twoCellAnchor>
  <xdr:twoCellAnchor>
    <xdr:from>
      <xdr:col>37</xdr:col>
      <xdr:colOff>9770</xdr:colOff>
      <xdr:row>5</xdr:row>
      <xdr:rowOff>97692</xdr:rowOff>
    </xdr:from>
    <xdr:to>
      <xdr:col>43</xdr:col>
      <xdr:colOff>2</xdr:colOff>
      <xdr:row>5</xdr:row>
      <xdr:rowOff>107461</xdr:rowOff>
    </xdr:to>
    <xdr:cxnSp macro="">
      <xdr:nvCxnSpPr>
        <xdr:cNvPr id="49" name="Straight Connector 48">
          <a:extLst>
            <a:ext uri="{FF2B5EF4-FFF2-40B4-BE49-F238E27FC236}">
              <a16:creationId xmlns:a16="http://schemas.microsoft.com/office/drawing/2014/main" id="{00000000-0008-0000-0200-000031000000}"/>
            </a:ext>
          </a:extLst>
        </xdr:cNvPr>
        <xdr:cNvCxnSpPr/>
      </xdr:nvCxnSpPr>
      <xdr:spPr>
        <a:xfrm flipH="1">
          <a:off x="11679116" y="1025769"/>
          <a:ext cx="3653694" cy="9769"/>
        </a:xfrm>
        <a:prstGeom prst="line">
          <a:avLst/>
        </a:prstGeom>
        <a:noFill/>
        <a:ln w="19050" cap="flat" cmpd="sng" algn="ctr">
          <a:solidFill>
            <a:srgbClr val="4472C4">
              <a:lumMod val="75000"/>
            </a:srgbClr>
          </a:solidFill>
          <a:prstDash val="solid"/>
          <a:miter lim="800000"/>
        </a:ln>
        <a:effectLst/>
      </xdr:spPr>
    </xdr:cxnSp>
    <xdr:clientData/>
  </xdr:twoCellAnchor>
  <xdr:twoCellAnchor>
    <xdr:from>
      <xdr:col>3</xdr:col>
      <xdr:colOff>281214</xdr:colOff>
      <xdr:row>29</xdr:row>
      <xdr:rowOff>81644</xdr:rowOff>
    </xdr:from>
    <xdr:to>
      <xdr:col>34</xdr:col>
      <xdr:colOff>0</xdr:colOff>
      <xdr:row>29</xdr:row>
      <xdr:rowOff>90716</xdr:rowOff>
    </xdr:to>
    <xdr:cxnSp macro="">
      <xdr:nvCxnSpPr>
        <xdr:cNvPr id="58" name="Straight Connector 57">
          <a:extLst>
            <a:ext uri="{FF2B5EF4-FFF2-40B4-BE49-F238E27FC236}">
              <a16:creationId xmlns:a16="http://schemas.microsoft.com/office/drawing/2014/main" id="{00000000-0008-0000-0200-00003A000000}"/>
            </a:ext>
          </a:extLst>
        </xdr:cNvPr>
        <xdr:cNvCxnSpPr/>
      </xdr:nvCxnSpPr>
      <xdr:spPr>
        <a:xfrm flipH="1" flipV="1">
          <a:off x="1224643" y="5442858"/>
          <a:ext cx="9461500" cy="9072"/>
        </a:xfrm>
        <a:prstGeom prst="line">
          <a:avLst/>
        </a:prstGeom>
        <a:ln w="31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181429</xdr:colOff>
      <xdr:row>42</xdr:row>
      <xdr:rowOff>9071</xdr:rowOff>
    </xdr:from>
    <xdr:to>
      <xdr:col>33</xdr:col>
      <xdr:colOff>734784</xdr:colOff>
      <xdr:row>49</xdr:row>
      <xdr:rowOff>18137</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31</xdr:col>
      <xdr:colOff>453572</xdr:colOff>
      <xdr:row>42</xdr:row>
      <xdr:rowOff>9071</xdr:rowOff>
    </xdr:from>
    <xdr:to>
      <xdr:col>33</xdr:col>
      <xdr:colOff>426357</xdr:colOff>
      <xdr:row>44</xdr:row>
      <xdr:rowOff>66962</xdr:rowOff>
    </xdr:to>
    <xdr:pic>
      <xdr:nvPicPr>
        <xdr:cNvPr id="20" name="Picture 19">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561286" y="7728857"/>
          <a:ext cx="807357" cy="420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262542</xdr:colOff>
      <xdr:row>2</xdr:row>
      <xdr:rowOff>2</xdr:rowOff>
    </xdr:from>
    <xdr:to>
      <xdr:col>5</xdr:col>
      <xdr:colOff>483137</xdr:colOff>
      <xdr:row>4</xdr:row>
      <xdr:rowOff>149412</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215042" y="373531"/>
          <a:ext cx="771551" cy="522940"/>
        </a:xfrm>
        <a:prstGeom prst="rect">
          <a:avLst/>
        </a:prstGeom>
      </xdr:spPr>
    </xdr:pic>
    <xdr:clientData/>
  </xdr:twoCellAnchor>
  <mc:AlternateContent xmlns:mc="http://schemas.openxmlformats.org/markup-compatibility/2006">
    <mc:Choice xmlns:a14="http://schemas.microsoft.com/office/drawing/2010/main" Requires="a14">
      <xdr:twoCellAnchor>
        <xdr:from>
          <xdr:col>44</xdr:col>
          <xdr:colOff>95250</xdr:colOff>
          <xdr:row>1</xdr:row>
          <xdr:rowOff>0</xdr:rowOff>
        </xdr:from>
        <xdr:to>
          <xdr:col>45</xdr:col>
          <xdr:colOff>311150</xdr:colOff>
          <xdr:row>2</xdr:row>
          <xdr:rowOff>127000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C0C0C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18</xdr:col>
      <xdr:colOff>157092</xdr:colOff>
      <xdr:row>17</xdr:row>
      <xdr:rowOff>89866</xdr:rowOff>
    </xdr:from>
    <xdr:ext cx="952184" cy="311496"/>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5421242" y="3258516"/>
          <a:ext cx="95218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bg1">
                  <a:lumMod val="50000"/>
                </a:schemeClr>
              </a:solidFill>
            </a:rPr>
            <a:t>Utlization </a:t>
          </a:r>
        </a:p>
      </xdr:txBody>
    </xdr:sp>
    <xdr:clientData/>
  </xdr:oneCellAnchor>
  <xdr:oneCellAnchor>
    <xdr:from>
      <xdr:col>18</xdr:col>
      <xdr:colOff>27249</xdr:colOff>
      <xdr:row>16</xdr:row>
      <xdr:rowOff>64582</xdr:rowOff>
    </xdr:from>
    <xdr:ext cx="1176989" cy="311496"/>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5291399" y="3049082"/>
          <a:ext cx="1176989" cy="311496"/>
        </a:xfrm>
        <a:prstGeom prst="rect">
          <a:avLst/>
        </a:prstGeom>
        <a:noFill/>
        <a:ln>
          <a:noFill/>
        </a:ln>
        <a:effectLst/>
      </xdr:spPr>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chemeClr val="accent1">
                  <a:lumMod val="75000"/>
                </a:schemeClr>
              </a:solidFill>
              <a:effectLst/>
              <a:uLnTx/>
              <a:uFillTx/>
              <a:latin typeface="Calibri" panose="020F0502020204030204"/>
              <a:ea typeface="+mn-ea"/>
              <a:cs typeface="+mn-cs"/>
            </a:rPr>
            <a:t>Line#1 - Filler</a:t>
          </a:r>
        </a:p>
      </xdr:txBody>
    </xdr:sp>
    <xdr:clientData/>
  </xdr:oneCellAnchor>
  <xdr:twoCellAnchor editAs="oneCell">
    <xdr:from>
      <xdr:col>38</xdr:col>
      <xdr:colOff>374517</xdr:colOff>
      <xdr:row>6</xdr:row>
      <xdr:rowOff>117475</xdr:rowOff>
    </xdr:from>
    <xdr:to>
      <xdr:col>41</xdr:col>
      <xdr:colOff>312510</xdr:colOff>
      <xdr:row>9</xdr:row>
      <xdr:rowOff>160294</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8367" y="1222375"/>
          <a:ext cx="1766793" cy="595269"/>
        </a:xfrm>
        <a:prstGeom prst="rect">
          <a:avLst/>
        </a:prstGeom>
      </xdr:spPr>
    </xdr:pic>
    <xdr:clientData/>
  </xdr:twoCellAnchor>
  <xdr:oneCellAnchor>
    <xdr:from>
      <xdr:col>5</xdr:col>
      <xdr:colOff>546655</xdr:colOff>
      <xdr:row>1</xdr:row>
      <xdr:rowOff>45297</xdr:rowOff>
    </xdr:from>
    <xdr:ext cx="4671472" cy="749821"/>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2049488" y="225214"/>
          <a:ext cx="467147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400" b="1">
              <a:solidFill>
                <a:schemeClr val="accent1">
                  <a:lumMod val="75000"/>
                </a:schemeClr>
              </a:solidFill>
            </a:rPr>
            <a:t>Line Utilization &amp; Tech. Eff Analysis</a:t>
          </a:r>
        </a:p>
        <a:p>
          <a:r>
            <a:rPr lang="en-US" sz="1800" b="0" baseline="0">
              <a:solidFill>
                <a:schemeClr val="accent1">
                  <a:lumMod val="75000"/>
                </a:schemeClr>
              </a:solidFill>
            </a:rPr>
            <a:t>PE SOUTH AFRICA - UHT PLANT</a:t>
          </a:r>
          <a:endParaRPr lang="en-US" sz="1800" b="0">
            <a:solidFill>
              <a:schemeClr val="accent1">
                <a:lumMod val="75000"/>
              </a:schemeClr>
            </a:solidFill>
          </a:endParaRPr>
        </a:p>
      </xdr:txBody>
    </xdr:sp>
    <xdr:clientData/>
  </xdr:oneCellAnchor>
  <xdr:twoCellAnchor>
    <xdr:from>
      <xdr:col>3</xdr:col>
      <xdr:colOff>162641</xdr:colOff>
      <xdr:row>5</xdr:row>
      <xdr:rowOff>126079</xdr:rowOff>
    </xdr:from>
    <xdr:to>
      <xdr:col>34</xdr:col>
      <xdr:colOff>167691</xdr:colOff>
      <xdr:row>5</xdr:row>
      <xdr:rowOff>126079</xdr:rowOff>
    </xdr:to>
    <xdr:cxnSp macro="">
      <xdr:nvCxnSpPr>
        <xdr:cNvPr id="10" name="Straight Connector 9">
          <a:extLst>
            <a:ext uri="{FF2B5EF4-FFF2-40B4-BE49-F238E27FC236}">
              <a16:creationId xmlns:a16="http://schemas.microsoft.com/office/drawing/2014/main" id="{00000000-0008-0000-0300-00000A000000}"/>
            </a:ext>
          </a:extLst>
        </xdr:cNvPr>
        <xdr:cNvCxnSpPr/>
      </xdr:nvCxnSpPr>
      <xdr:spPr>
        <a:xfrm flipH="1" flipV="1">
          <a:off x="1108791" y="1046829"/>
          <a:ext cx="9726900" cy="0"/>
        </a:xfrm>
        <a:prstGeom prst="line">
          <a:avLst/>
        </a:prstGeom>
        <a:noFill/>
        <a:ln w="19050" cap="flat" cmpd="sng" algn="ctr">
          <a:solidFill>
            <a:schemeClr val="accent1">
              <a:lumMod val="75000"/>
            </a:schemeClr>
          </a:solidFill>
          <a:prstDash val="solid"/>
          <a:miter lim="800000"/>
        </a:ln>
        <a:effectLst/>
      </xdr:spPr>
    </xdr:cxnSp>
    <xdr:clientData/>
  </xdr:twoCellAnchor>
  <xdr:twoCellAnchor>
    <xdr:from>
      <xdr:col>37</xdr:col>
      <xdr:colOff>0</xdr:colOff>
      <xdr:row>10</xdr:row>
      <xdr:rowOff>151423</xdr:rowOff>
    </xdr:from>
    <xdr:to>
      <xdr:col>42</xdr:col>
      <xdr:colOff>600809</xdr:colOff>
      <xdr:row>10</xdr:row>
      <xdr:rowOff>161192</xdr:rowOff>
    </xdr:to>
    <xdr:cxnSp macro="">
      <xdr:nvCxnSpPr>
        <xdr:cNvPr id="11" name="Straight Connector 10">
          <a:extLst>
            <a:ext uri="{FF2B5EF4-FFF2-40B4-BE49-F238E27FC236}">
              <a16:creationId xmlns:a16="http://schemas.microsoft.com/office/drawing/2014/main" id="{00000000-0008-0000-0300-00000B000000}"/>
            </a:ext>
          </a:extLst>
        </xdr:cNvPr>
        <xdr:cNvCxnSpPr/>
      </xdr:nvCxnSpPr>
      <xdr:spPr>
        <a:xfrm flipH="1">
          <a:off x="11144250" y="1992923"/>
          <a:ext cx="3648809" cy="9769"/>
        </a:xfrm>
        <a:prstGeom prst="line">
          <a:avLst/>
        </a:prstGeom>
        <a:noFill/>
        <a:ln w="19050" cap="flat" cmpd="sng" algn="ctr">
          <a:solidFill>
            <a:srgbClr val="4472C4">
              <a:lumMod val="75000"/>
            </a:srgbClr>
          </a:solidFill>
          <a:prstDash val="solid"/>
          <a:miter lim="800000"/>
        </a:ln>
        <a:effectLst/>
      </xdr:spPr>
    </xdr:cxnSp>
    <xdr:clientData/>
  </xdr:twoCellAnchor>
  <xdr:twoCellAnchor>
    <xdr:from>
      <xdr:col>3</xdr:col>
      <xdr:colOff>163285</xdr:colOff>
      <xdr:row>10</xdr:row>
      <xdr:rowOff>163286</xdr:rowOff>
    </xdr:from>
    <xdr:to>
      <xdr:col>34</xdr:col>
      <xdr:colOff>149110</xdr:colOff>
      <xdr:row>10</xdr:row>
      <xdr:rowOff>163286</xdr:rowOff>
    </xdr:to>
    <xdr:cxnSp macro="">
      <xdr:nvCxnSpPr>
        <xdr:cNvPr id="12" name="Straight Connector 11">
          <a:extLst>
            <a:ext uri="{FF2B5EF4-FFF2-40B4-BE49-F238E27FC236}">
              <a16:creationId xmlns:a16="http://schemas.microsoft.com/office/drawing/2014/main" id="{00000000-0008-0000-0300-00000C000000}"/>
            </a:ext>
          </a:extLst>
        </xdr:cNvPr>
        <xdr:cNvCxnSpPr/>
      </xdr:nvCxnSpPr>
      <xdr:spPr>
        <a:xfrm flipH="1">
          <a:off x="1109435" y="2004786"/>
          <a:ext cx="9707675" cy="0"/>
        </a:xfrm>
        <a:prstGeom prst="line">
          <a:avLst/>
        </a:prstGeom>
        <a:noFill/>
        <a:ln w="19050" cap="flat" cmpd="sng" algn="ctr">
          <a:solidFill>
            <a:srgbClr val="4472C4">
              <a:lumMod val="75000"/>
            </a:srgbClr>
          </a:solidFill>
          <a:prstDash val="solid"/>
          <a:miter lim="800000"/>
        </a:ln>
        <a:effectLst/>
      </xdr:spPr>
    </xdr:cxnSp>
    <xdr:clientData/>
  </xdr:twoCellAnchor>
  <xdr:twoCellAnchor>
    <xdr:from>
      <xdr:col>37</xdr:col>
      <xdr:colOff>9770</xdr:colOff>
      <xdr:row>5</xdr:row>
      <xdr:rowOff>97692</xdr:rowOff>
    </xdr:from>
    <xdr:to>
      <xdr:col>43</xdr:col>
      <xdr:colOff>2</xdr:colOff>
      <xdr:row>5</xdr:row>
      <xdr:rowOff>107461</xdr:rowOff>
    </xdr:to>
    <xdr:cxnSp macro="">
      <xdr:nvCxnSpPr>
        <xdr:cNvPr id="13" name="Straight Connector 12">
          <a:extLst>
            <a:ext uri="{FF2B5EF4-FFF2-40B4-BE49-F238E27FC236}">
              <a16:creationId xmlns:a16="http://schemas.microsoft.com/office/drawing/2014/main" id="{00000000-0008-0000-0300-00000D000000}"/>
            </a:ext>
          </a:extLst>
        </xdr:cNvPr>
        <xdr:cNvCxnSpPr/>
      </xdr:nvCxnSpPr>
      <xdr:spPr>
        <a:xfrm flipH="1">
          <a:off x="11154020" y="1018442"/>
          <a:ext cx="3647832" cy="9769"/>
        </a:xfrm>
        <a:prstGeom prst="line">
          <a:avLst/>
        </a:prstGeom>
        <a:noFill/>
        <a:ln w="19050" cap="flat" cmpd="sng" algn="ctr">
          <a:solidFill>
            <a:srgbClr val="4472C4">
              <a:lumMod val="75000"/>
            </a:srgbClr>
          </a:solidFill>
          <a:prstDash val="solid"/>
          <a:miter lim="800000"/>
        </a:ln>
        <a:effectLst/>
      </xdr:spPr>
    </xdr:cxnSp>
    <xdr:clientData/>
  </xdr:twoCellAnchor>
  <xdr:twoCellAnchor editAs="oneCell">
    <xdr:from>
      <xdr:col>3</xdr:col>
      <xdr:colOff>181430</xdr:colOff>
      <xdr:row>1</xdr:row>
      <xdr:rowOff>172358</xdr:rowOff>
    </xdr:from>
    <xdr:to>
      <xdr:col>5</xdr:col>
      <xdr:colOff>431143</xdr:colOff>
      <xdr:row>4</xdr:row>
      <xdr:rowOff>136073</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382" t="5518" r="12149" b="9263"/>
        <a:stretch/>
      </xdr:blipFill>
      <xdr:spPr>
        <a:xfrm>
          <a:off x="1127580" y="356508"/>
          <a:ext cx="802163" cy="516165"/>
        </a:xfrm>
        <a:prstGeom prst="rect">
          <a:avLst/>
        </a:prstGeom>
      </xdr:spPr>
    </xdr:pic>
    <xdr:clientData/>
  </xdr:twoCellAnchor>
  <xdr:twoCellAnchor>
    <xdr:from>
      <xdr:col>3</xdr:col>
      <xdr:colOff>281214</xdr:colOff>
      <xdr:row>37</xdr:row>
      <xdr:rowOff>81637</xdr:rowOff>
    </xdr:from>
    <xdr:to>
      <xdr:col>34</xdr:col>
      <xdr:colOff>0</xdr:colOff>
      <xdr:row>37</xdr:row>
      <xdr:rowOff>90709</xdr:rowOff>
    </xdr:to>
    <xdr:cxnSp macro="">
      <xdr:nvCxnSpPr>
        <xdr:cNvPr id="15" name="Straight Connector 14">
          <a:extLst>
            <a:ext uri="{FF2B5EF4-FFF2-40B4-BE49-F238E27FC236}">
              <a16:creationId xmlns:a16="http://schemas.microsoft.com/office/drawing/2014/main" id="{00000000-0008-0000-0300-00000F000000}"/>
            </a:ext>
          </a:extLst>
        </xdr:cNvPr>
        <xdr:cNvCxnSpPr/>
      </xdr:nvCxnSpPr>
      <xdr:spPr>
        <a:xfrm flipH="1" flipV="1">
          <a:off x="1227941" y="6997364"/>
          <a:ext cx="9463150" cy="9072"/>
        </a:xfrm>
        <a:prstGeom prst="line">
          <a:avLst/>
        </a:prstGeom>
        <a:ln w="31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138541</xdr:colOff>
      <xdr:row>20</xdr:row>
      <xdr:rowOff>138546</xdr:rowOff>
    </xdr:from>
    <xdr:to>
      <xdr:col>33</xdr:col>
      <xdr:colOff>646541</xdr:colOff>
      <xdr:row>35</xdr:row>
      <xdr:rowOff>64655</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115452</xdr:colOff>
      <xdr:row>20</xdr:row>
      <xdr:rowOff>124116</xdr:rowOff>
    </xdr:from>
    <xdr:to>
      <xdr:col>19</xdr:col>
      <xdr:colOff>34634</xdr:colOff>
      <xdr:row>35</xdr:row>
      <xdr:rowOff>50225</xdr:rowOff>
    </xdr:to>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149513</xdr:colOff>
      <xdr:row>39</xdr:row>
      <xdr:rowOff>152689</xdr:rowOff>
    </xdr:from>
    <xdr:to>
      <xdr:col>33</xdr:col>
      <xdr:colOff>398318</xdr:colOff>
      <xdr:row>49</xdr:row>
      <xdr:rowOff>19481</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44</xdr:col>
          <xdr:colOff>63500</xdr:colOff>
          <xdr:row>1</xdr:row>
          <xdr:rowOff>0</xdr:rowOff>
        </xdr:from>
        <xdr:to>
          <xdr:col>45</xdr:col>
          <xdr:colOff>279400</xdr:colOff>
          <xdr:row>2</xdr:row>
          <xdr:rowOff>127000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0" i="0" u="none" strike="noStrike" baseline="0">
                  <a:solidFill>
                    <a:srgbClr val="C0C0C0"/>
                  </a:solidFill>
                  <a:latin typeface="Arial"/>
                  <a:cs typeface="Arial"/>
                </a:rPr>
                <a:t>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185962</xdr:colOff>
      <xdr:row>41</xdr:row>
      <xdr:rowOff>86178</xdr:rowOff>
    </xdr:from>
    <xdr:to>
      <xdr:col>24</xdr:col>
      <xdr:colOff>546346</xdr:colOff>
      <xdr:row>53</xdr:row>
      <xdr:rowOff>131470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igitglobal-my.sharepoint.com/personal/mostafa_shalaby_sig_biz/Documents/Lactalis%20SC%20details/South%20Africa/Response/Copy%20of%20Lactalis%20Tech%20Weekly%20Meeting%20SES+%20Toolkit%20V02%20W24%20to%20W30.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f$5"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shalaby\AppData\Roaming\Microsoft\Excel\PL%2520Action%2520planner%2520and%2520Execurtive%2520Summary%2520File%2520V00%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FoR"/>
      <sheetName val="1.Attendance"/>
      <sheetName val="2.Action Plan"/>
      <sheetName val="Total Tech"/>
      <sheetName val="3.0 Weekly BKD Pareto LG"/>
      <sheetName val="3.1 Weekly BKD Pareto LX"/>
      <sheetName val="3.2 Weekly BKD Pareto LM"/>
      <sheetName val="3.3 Weekly BKD Pareto LR"/>
      <sheetName val="3.4 Weekly BKD Pareto LV"/>
      <sheetName val="TeamBoardOPL"/>
      <sheetName val="4Description of the phenomenon"/>
    </sheetNames>
    <sheetDataSet>
      <sheetData sheetId="0"/>
      <sheetData sheetId="1"/>
      <sheetData sheetId="2"/>
      <sheetData sheetId="3">
        <row r="15">
          <cell r="B15" t="str">
            <v xml:space="preserve">Processing </v>
          </cell>
          <cell r="D15">
            <v>19168</v>
          </cell>
        </row>
        <row r="16">
          <cell r="B16" t="str">
            <v xml:space="preserve">Filler </v>
          </cell>
          <cell r="D16">
            <v>13933</v>
          </cell>
        </row>
        <row r="17">
          <cell r="B17" t="str">
            <v>Cap</v>
          </cell>
          <cell r="D17">
            <v>2617</v>
          </cell>
        </row>
        <row r="18">
          <cell r="B18" t="str">
            <v>Tray</v>
          </cell>
          <cell r="D18">
            <v>2230</v>
          </cell>
        </row>
        <row r="19">
          <cell r="B19" t="str">
            <v>Conveyor/Palletizer/robots</v>
          </cell>
          <cell r="D19">
            <v>8599</v>
          </cell>
        </row>
        <row r="20">
          <cell r="B20" t="str">
            <v>Utility</v>
          </cell>
          <cell r="D20">
            <v>437</v>
          </cell>
        </row>
        <row r="21">
          <cell r="D21">
            <v>0</v>
          </cell>
        </row>
        <row r="22">
          <cell r="D22">
            <v>0</v>
          </cell>
        </row>
        <row r="23">
          <cell r="D23">
            <v>0</v>
          </cell>
        </row>
        <row r="24">
          <cell r="D24">
            <v>0</v>
          </cell>
        </row>
        <row r="25">
          <cell r="D25">
            <v>0</v>
          </cell>
        </row>
        <row r="26">
          <cell r="D26">
            <v>0</v>
          </cell>
        </row>
        <row r="27">
          <cell r="D27">
            <v>0</v>
          </cell>
        </row>
        <row r="28">
          <cell r="D28">
            <v>0</v>
          </cell>
        </row>
        <row r="29">
          <cell r="D29">
            <v>0</v>
          </cell>
        </row>
        <row r="33">
          <cell r="B33" t="str">
            <v>VTIS</v>
          </cell>
          <cell r="D33">
            <v>6168</v>
          </cell>
          <cell r="O33" t="str">
            <v>Line G</v>
          </cell>
          <cell r="Q33">
            <v>1627</v>
          </cell>
          <cell r="AB33" t="str">
            <v>X  - BARCODE 2&amp;4 | ROBOT 6</v>
          </cell>
          <cell r="AD33">
            <v>1920</v>
          </cell>
        </row>
        <row r="34">
          <cell r="B34" t="str">
            <v>FLEX</v>
          </cell>
          <cell r="D34">
            <v>6528</v>
          </cell>
          <cell r="O34" t="str">
            <v>Line X</v>
          </cell>
          <cell r="Q34">
            <v>1510</v>
          </cell>
          <cell r="AB34" t="str">
            <v>R  - BARCODE 3&amp;4 | ROBOT 1&amp;4</v>
          </cell>
          <cell r="AD34">
            <v>3363</v>
          </cell>
        </row>
        <row r="35">
          <cell r="B35" t="str">
            <v>Steri tube</v>
          </cell>
          <cell r="D35">
            <v>2092</v>
          </cell>
          <cell r="O35" t="str">
            <v>Line M</v>
          </cell>
          <cell r="Q35">
            <v>2321</v>
          </cell>
          <cell r="AB35" t="str">
            <v>V  - BARCODE 5 | ROBOT 3</v>
          </cell>
          <cell r="AD35">
            <v>3050</v>
          </cell>
        </row>
        <row r="36">
          <cell r="B36" t="str">
            <v>ONE STEP</v>
          </cell>
          <cell r="D36">
            <v>4322</v>
          </cell>
          <cell r="O36" t="str">
            <v>Line R</v>
          </cell>
          <cell r="Q36">
            <v>4957</v>
          </cell>
          <cell r="AB36" t="str">
            <v xml:space="preserve">G  - Manual Packing </v>
          </cell>
          <cell r="AD36">
            <v>3629</v>
          </cell>
        </row>
        <row r="37">
          <cell r="O37" t="str">
            <v>Line V</v>
          </cell>
          <cell r="Q37">
            <v>3518</v>
          </cell>
          <cell r="AB37" t="str">
            <v xml:space="preserve">M  - Manual Packing </v>
          </cell>
          <cell r="AD37">
            <v>3160</v>
          </cell>
        </row>
      </sheetData>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5"/>
      <sheetName val="Macro1"/>
      <sheetName val="Index"/>
      <sheetName val="1 OEE Analysis"/>
      <sheetName val="1.1 OEE Analysis Graph"/>
      <sheetName val="2.1 Process Flow Prodline 2002"/>
      <sheetName val="2.2 Process Flow Prodline 2003"/>
      <sheetName val="2.3 Process Flow Prodline 04-05"/>
      <sheetName val="3 Volume Deployment"/>
      <sheetName val="4.a Potential Benefits"/>
      <sheetName val="4.a.1 Financial Figures"/>
      <sheetName val="4.b Potential Benefits"/>
      <sheetName val="4.b.1 Financial Figures"/>
      <sheetName val="5 Material Loss Analysis"/>
      <sheetName val="5.1 Waste Deployment"/>
      <sheetName val="5.2 Waste Analysis Tool"/>
      <sheetName val="5.3 Waste Data Collection"/>
      <sheetName val="10 Maintenance"/>
      <sheetName val="Grafico1"/>
      <sheetName val="macro"/>
      <sheetName val="Tablica"/>
      <sheetName val="1.Skład grupy"/>
      <sheetName val="2. Opis problemu"/>
      <sheetName val="PARETO"/>
      <sheetName val="pareto 2"/>
      <sheetName val="pareto 3"/>
      <sheetName val="3. Wskażnik postępu"/>
      <sheetName val="punkty krytyczne"/>
      <sheetName val="arkusz danych"/>
      <sheetName val="Masterplan"/>
      <sheetName val="Zmiany"/>
      <sheetName val="8. Tabela umiejętności"/>
      <sheetName val="Plan działania"/>
      <sheetName val="Krok 1"/>
      <sheetName val="Krok 2"/>
      <sheetName val="Krok 3"/>
      <sheetName val="Step 4"/>
      <sheetName val="Analiza 5 X Dlaczego"/>
      <sheetName val="raport1"/>
      <sheetName val="raport2"/>
      <sheetName val="raport3"/>
      <sheetName val="raport4"/>
      <sheetName val="raport5"/>
      <sheetName val="raport6"/>
      <sheetName val="raport7"/>
      <sheetName val="raport8"/>
      <sheetName val="raport9"/>
      <sheetName val="harm czyszcz"/>
      <sheetName val="7. Plan spotkań"/>
      <sheetName val="6.Plan działania"/>
      <sheetName val="5. Koszty i zyski"/>
      <sheetName val="TeamBoardOPL"/>
      <sheetName val="TeamBoard"/>
      <sheetName val="GeneralInfo"/>
      <sheetName val="Deployment"/>
      <sheetName val="Route"/>
      <sheetName val="Perfor.Indi."/>
      <sheetName val="Routines"/>
      <sheetName val="Training"/>
      <sheetName val="TeamAudit"/>
      <sheetName val="5S TeamAudit"/>
      <sheetName val="AM TeamAudit"/>
      <sheetName val="Actions"/>
      <sheetName val="BasicProblemOPL"/>
      <sheetName val="ImprovementOPL"/>
      <sheetName val="Step1"/>
      <sheetName val="Step2"/>
      <sheetName val="Step3"/>
      <sheetName val="Step4"/>
      <sheetName val="Step5"/>
      <sheetName val="Step6"/>
      <sheetName val="Step7"/>
      <sheetName val="Step"/>
      <sheetName val="Work Sampling-S"/>
      <sheetName val="Work Sampling"/>
      <sheetName val="M-MC Diagram format"/>
      <sheetName val="Before Data Entry"/>
      <sheetName val="Tasks optimisation "/>
      <sheetName val="CHARTS"/>
      <sheetName val="Before Data Entry ex"/>
      <sheetName val="Tasks optimisation ex"/>
      <sheetName val="CHARTS ex"/>
      <sheetName val="From TO Matrix (layout)"/>
      <sheetName val="Flow Diagram"/>
      <sheetName val="Travel Chart form"/>
      <sheetName val="Travel Chart Layout"/>
      <sheetName val="_f_5"/>
      <sheetName val="0. Tabellone"/>
      <sheetName val="1. Info generali"/>
      <sheetName val="2. Deployment"/>
      <sheetName val="3. Percorso"/>
      <sheetName val="4 Master plan"/>
      <sheetName val="5. KPI"/>
      <sheetName val="6.Matrice di formazione"/>
      <sheetName val="7.C&amp;B graf."/>
      <sheetName val="7.1.C&amp;B calcolo"/>
      <sheetName val="8.Audit"/>
      <sheetName val="S1. Passo1"/>
      <sheetName val="S1. piano"/>
      <sheetName val="S2. Passo2"/>
      <sheetName val="S2. piano"/>
      <sheetName val="Registro attività"/>
      <sheetName val="S3. Passo"/>
      <sheetName val="S3. piano"/>
      <sheetName val="S4. Passo4"/>
      <sheetName val="S4.Piano"/>
      <sheetName val="S5. Passo5"/>
      <sheetName val="S5.Piano"/>
      <sheetName val="Check list"/>
      <sheetName val="Follow-up"/>
      <sheetName val="Cartellinatura"/>
      <sheetName val="grafico Causa Ferm. Gruppo macc"/>
      <sheetName val="RIEP Ferm 635+621+644"/>
      <sheetName val="RIEP Ferm 635+621"/>
      <sheetName val="RIEP Ferm 635 SING"/>
      <sheetName val="RIEP Ferm 621 SING"/>
      <sheetName val="RIEP Ferm 644"/>
      <sheetName val="Mod 635+621+644"/>
      <sheetName val="Mod 635+621"/>
      <sheetName val="Mod 635 SING"/>
      <sheetName val="Mod 644SING."/>
      <sheetName val="Mod 621SING."/>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any"/>
      <sheetName val=" PL Action plan"/>
      <sheetName val="PL W#24 to W30"/>
    </sheetNames>
    <sheetDataSet>
      <sheetData sheetId="0" refreshError="1"/>
      <sheetData sheetId="1" refreshError="1"/>
      <sheetData sheetId="2">
        <row r="30">
          <cell r="E30">
            <v>0.29166666666666669</v>
          </cell>
          <cell r="F30">
            <v>0.33333333333333298</v>
          </cell>
          <cell r="G30">
            <v>0.375</v>
          </cell>
          <cell r="H30">
            <v>0.41666666666666702</v>
          </cell>
          <cell r="I30">
            <v>0.45833333333333298</v>
          </cell>
          <cell r="J30">
            <v>0.5</v>
          </cell>
          <cell r="K30">
            <v>0.54166666666666696</v>
          </cell>
          <cell r="L30">
            <v>0.58333333333333304</v>
          </cell>
          <cell r="M30">
            <v>0.625</v>
          </cell>
          <cell r="N30">
            <v>0.66666666666666596</v>
          </cell>
          <cell r="O30">
            <v>0.70833333333333304</v>
          </cell>
          <cell r="P30">
            <v>0.75</v>
          </cell>
          <cell r="Q30">
            <v>0.79166666666666696</v>
          </cell>
          <cell r="R30">
            <v>0.83333333333333304</v>
          </cell>
          <cell r="S30">
            <v>0.875</v>
          </cell>
          <cell r="T30">
            <v>0.91666666666666696</v>
          </cell>
          <cell r="U30">
            <v>0.95833333333333304</v>
          </cell>
          <cell r="V30">
            <v>1</v>
          </cell>
          <cell r="W30">
            <v>1.0416666666666701</v>
          </cell>
          <cell r="X30">
            <v>1.0833333333333299</v>
          </cell>
          <cell r="Y30">
            <v>1.125</v>
          </cell>
          <cell r="Z30">
            <v>1.1666666666666701</v>
          </cell>
          <cell r="AA30">
            <v>1.2083333333333399</v>
          </cell>
          <cell r="AB30">
            <v>1.25</v>
          </cell>
          <cell r="AC30">
            <v>1.2916666666666701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Custom 1">
    <a:dk1>
      <a:srgbClr val="332467"/>
    </a:dk1>
    <a:lt1>
      <a:srgbClr val="FFFFFF"/>
    </a:lt1>
    <a:dk2>
      <a:srgbClr val="332467"/>
    </a:dk2>
    <a:lt2>
      <a:srgbClr val="8F8F8F"/>
    </a:lt2>
    <a:accent1>
      <a:srgbClr val="C0C0C0"/>
    </a:accent1>
    <a:accent2>
      <a:srgbClr val="FFAA2D"/>
    </a:accent2>
    <a:accent3>
      <a:srgbClr val="777777"/>
    </a:accent3>
    <a:accent4>
      <a:srgbClr val="00009A"/>
    </a:accent4>
    <a:accent5>
      <a:srgbClr val="8F8F8F"/>
    </a:accent5>
    <a:accent6>
      <a:srgbClr val="332467"/>
    </a:accent6>
    <a:hlink>
      <a:srgbClr val="777777"/>
    </a:hlink>
    <a:folHlink>
      <a:srgbClr val="00009A"/>
    </a:folHlink>
  </a:clrScheme>
  <a:fontScheme name="Solving Efeso TK templat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Custom 1">
    <a:dk1>
      <a:srgbClr val="332467"/>
    </a:dk1>
    <a:lt1>
      <a:srgbClr val="FFFFFF"/>
    </a:lt1>
    <a:dk2>
      <a:srgbClr val="332467"/>
    </a:dk2>
    <a:lt2>
      <a:srgbClr val="8F8F8F"/>
    </a:lt2>
    <a:accent1>
      <a:srgbClr val="C0C0C0"/>
    </a:accent1>
    <a:accent2>
      <a:srgbClr val="FFAA2D"/>
    </a:accent2>
    <a:accent3>
      <a:srgbClr val="777777"/>
    </a:accent3>
    <a:accent4>
      <a:srgbClr val="00009A"/>
    </a:accent4>
    <a:accent5>
      <a:srgbClr val="8F8F8F"/>
    </a:accent5>
    <a:accent6>
      <a:srgbClr val="332467"/>
    </a:accent6>
    <a:hlink>
      <a:srgbClr val="777777"/>
    </a:hlink>
    <a:folHlink>
      <a:srgbClr val="00009A"/>
    </a:folHlink>
  </a:clrScheme>
  <a:fontScheme name="Solving Efeso TK templat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Custom 1">
    <a:dk1>
      <a:srgbClr val="332467"/>
    </a:dk1>
    <a:lt1>
      <a:srgbClr val="FFFFFF"/>
    </a:lt1>
    <a:dk2>
      <a:srgbClr val="332467"/>
    </a:dk2>
    <a:lt2>
      <a:srgbClr val="8F8F8F"/>
    </a:lt2>
    <a:accent1>
      <a:srgbClr val="C0C0C0"/>
    </a:accent1>
    <a:accent2>
      <a:srgbClr val="FFAA2D"/>
    </a:accent2>
    <a:accent3>
      <a:srgbClr val="777777"/>
    </a:accent3>
    <a:accent4>
      <a:srgbClr val="00009A"/>
    </a:accent4>
    <a:accent5>
      <a:srgbClr val="8F8F8F"/>
    </a:accent5>
    <a:accent6>
      <a:srgbClr val="332467"/>
    </a:accent6>
    <a:hlink>
      <a:srgbClr val="777777"/>
    </a:hlink>
    <a:folHlink>
      <a:srgbClr val="00009A"/>
    </a:folHlink>
  </a:clrScheme>
  <a:fontScheme name="Solving Efeso TK templat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Custom 1">
    <a:dk1>
      <a:srgbClr val="332467"/>
    </a:dk1>
    <a:lt1>
      <a:srgbClr val="FFFFFF"/>
    </a:lt1>
    <a:dk2>
      <a:srgbClr val="332467"/>
    </a:dk2>
    <a:lt2>
      <a:srgbClr val="8F8F8F"/>
    </a:lt2>
    <a:accent1>
      <a:srgbClr val="C0C0C0"/>
    </a:accent1>
    <a:accent2>
      <a:srgbClr val="FFAA2D"/>
    </a:accent2>
    <a:accent3>
      <a:srgbClr val="777777"/>
    </a:accent3>
    <a:accent4>
      <a:srgbClr val="00009A"/>
    </a:accent4>
    <a:accent5>
      <a:srgbClr val="8F8F8F"/>
    </a:accent5>
    <a:accent6>
      <a:srgbClr val="332467"/>
    </a:accent6>
    <a:hlink>
      <a:srgbClr val="777777"/>
    </a:hlink>
    <a:folHlink>
      <a:srgbClr val="00009A"/>
    </a:folHlink>
  </a:clrScheme>
  <a:fontScheme name="Solving Efeso TK templat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_EFESO">
    <a:dk1>
      <a:srgbClr val="6A615A"/>
    </a:dk1>
    <a:lt1>
      <a:srgbClr val="FFFFFF"/>
    </a:lt1>
    <a:dk2>
      <a:srgbClr val="442778"/>
    </a:dk2>
    <a:lt2>
      <a:srgbClr val="8D8279"/>
    </a:lt2>
    <a:accent1>
      <a:srgbClr val="442778"/>
    </a:accent1>
    <a:accent2>
      <a:srgbClr val="EF7918"/>
    </a:accent2>
    <a:accent3>
      <a:srgbClr val="CFBF4E"/>
    </a:accent3>
    <a:accent4>
      <a:srgbClr val="62B9B4"/>
    </a:accent4>
    <a:accent5>
      <a:srgbClr val="DDD1E9"/>
    </a:accent5>
    <a:accent6>
      <a:srgbClr val="BBB4AF"/>
    </a:accent6>
    <a:hlink>
      <a:srgbClr val="6A615A"/>
    </a:hlink>
    <a:folHlink>
      <a:srgbClr val="BBB4AF"/>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1200-B735-49A3-BFC7-6B338E797F61}">
  <sheetPr codeName="Feuil2">
    <tabColor theme="0" tint="-0.34998626667073579"/>
  </sheetPr>
  <dimension ref="A1:F14"/>
  <sheetViews>
    <sheetView showGridLines="0" showRowColHeaders="0" tabSelected="1" zoomScale="118" zoomScaleNormal="100" workbookViewId="0">
      <selection activeCell="L15" sqref="L15"/>
    </sheetView>
  </sheetViews>
  <sheetFormatPr defaultColWidth="9.81640625" defaultRowHeight="10" x14ac:dyDescent="0.2"/>
  <cols>
    <col min="1" max="3" width="3.1796875" style="98" customWidth="1"/>
    <col min="4" max="4" width="28.36328125" style="98" customWidth="1"/>
    <col min="5" max="6" width="3.1796875" style="98" customWidth="1"/>
    <col min="7" max="16384" width="9.81640625" style="98"/>
  </cols>
  <sheetData>
    <row r="1" spans="1:6" ht="30" customHeight="1" x14ac:dyDescent="0.4">
      <c r="A1" s="97" t="s">
        <v>70</v>
      </c>
      <c r="B1" s="97"/>
      <c r="C1" s="97"/>
      <c r="D1" s="97"/>
      <c r="E1" s="97"/>
      <c r="F1" s="97"/>
    </row>
    <row r="2" spans="1:6" ht="24.9" customHeight="1" thickBot="1" x14ac:dyDescent="0.25">
      <c r="A2" s="99" t="s">
        <v>71</v>
      </c>
      <c r="B2" s="100"/>
      <c r="C2" s="100"/>
      <c r="D2" s="100"/>
      <c r="E2" s="100"/>
      <c r="F2" s="100"/>
    </row>
    <row r="3" spans="1:6" x14ac:dyDescent="0.2">
      <c r="A3" s="101"/>
      <c r="B3" s="101"/>
      <c r="C3" s="101"/>
      <c r="D3" s="101"/>
      <c r="E3" s="101"/>
      <c r="F3" s="101"/>
    </row>
    <row r="4" spans="1:6" ht="15.5" x14ac:dyDescent="0.35">
      <c r="B4" s="102" t="s">
        <v>72</v>
      </c>
    </row>
    <row r="6" spans="1:6" ht="20.149999999999999" customHeight="1" x14ac:dyDescent="0.2">
      <c r="D6" s="103" t="s">
        <v>73</v>
      </c>
    </row>
    <row r="8" spans="1:6" ht="15.5" x14ac:dyDescent="0.35">
      <c r="B8" s="102" t="s">
        <v>74</v>
      </c>
    </row>
    <row r="10" spans="1:6" x14ac:dyDescent="0.2">
      <c r="C10" s="104"/>
      <c r="D10" s="105"/>
      <c r="E10" s="106"/>
    </row>
    <row r="11" spans="1:6" ht="51.9" customHeight="1" x14ac:dyDescent="0.2"/>
    <row r="12" spans="1:6" x14ac:dyDescent="0.2">
      <c r="C12" s="107"/>
      <c r="D12" s="108"/>
      <c r="E12" s="109"/>
    </row>
    <row r="14" spans="1:6" x14ac:dyDescent="0.2">
      <c r="C14" s="98" t="s">
        <v>75</v>
      </c>
    </row>
  </sheetData>
  <sheetProtection algorithmName="SHA-512" hashValue="4EZ5J4s0Yk3on7H61cvUjf0JeC0n5NsZVE3Y01tJ4T9VtyKgQBWiEc+RWWMOHhKNJq825IkKfnIQ6hf0TpzYmA==" saltValue="WYfM1C6ZNAB/uYHQAs4bGA==" spinCount="100000" sheet="1" objects="1" scenarios="1"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75" r:id="rId4" name="ToggleButton1">
          <controlPr defaultSize="0" autoLine="0" r:id="rId5">
            <anchor moveWithCells="1">
              <from>
                <xdr:col>6</xdr:col>
                <xdr:colOff>476250</xdr:colOff>
                <xdr:row>11</xdr:row>
                <xdr:rowOff>57150</xdr:rowOff>
              </from>
              <to>
                <xdr:col>9</xdr:col>
                <xdr:colOff>12700</xdr:colOff>
                <xdr:row>13</xdr:row>
                <xdr:rowOff>101600</xdr:rowOff>
              </to>
            </anchor>
          </controlPr>
        </control>
      </mc:Choice>
      <mc:Fallback>
        <control shapeId="7175" r:id="rId4" name="ToggleButton1"/>
      </mc:Fallback>
    </mc:AlternateContent>
    <mc:AlternateContent xmlns:mc="http://schemas.openxmlformats.org/markup-compatibility/2006">
      <mc:Choice Requires="x14">
        <control shapeId="7169" r:id="rId6" name="Button 1">
          <controlPr defaultSize="0" print="0" autoFill="0" autoPict="0" macro="[0]!Page2">
            <anchor moveWithCells="1" sizeWithCells="1">
              <from>
                <xdr:col>6</xdr:col>
                <xdr:colOff>450850</xdr:colOff>
                <xdr:row>8</xdr:row>
                <xdr:rowOff>95250</xdr:rowOff>
              </from>
              <to>
                <xdr:col>9</xdr:col>
                <xdr:colOff>6350</xdr:colOff>
                <xdr:row>10</xdr:row>
                <xdr:rowOff>120650</xdr:rowOff>
              </to>
            </anchor>
          </controlPr>
        </control>
      </mc:Choice>
    </mc:AlternateContent>
    <mc:AlternateContent xmlns:mc="http://schemas.openxmlformats.org/markup-compatibility/2006">
      <mc:Choice Requires="x14">
        <control shapeId="7170" r:id="rId7" name="Button 2">
          <controlPr defaultSize="0" print="0" autoFill="0" autoPict="0" macro="[0]!Company">
            <anchor moveWithCells="1" sizeWithCells="1">
              <from>
                <xdr:col>6</xdr:col>
                <xdr:colOff>444500</xdr:colOff>
                <xdr:row>10</xdr:row>
                <xdr:rowOff>158750</xdr:rowOff>
              </from>
              <to>
                <xdr:col>8</xdr:col>
                <xdr:colOff>685800</xdr:colOff>
                <xdr:row>10</xdr:row>
                <xdr:rowOff>438150</xdr:rowOff>
              </to>
            </anchor>
          </controlPr>
        </control>
      </mc:Choice>
    </mc:AlternateContent>
    <mc:AlternateContent xmlns:mc="http://schemas.openxmlformats.org/markup-compatibility/2006">
      <mc:Choice Requires="x14">
        <control shapeId="7171" r:id="rId8" name="Button 3">
          <controlPr defaultSize="0" print="0" autoFill="0" autoPict="0" macro="[0]!Overall">
            <anchor moveWithCells="1" sizeWithCells="1">
              <from>
                <xdr:col>6</xdr:col>
                <xdr:colOff>444500</xdr:colOff>
                <xdr:row>3</xdr:row>
                <xdr:rowOff>6350</xdr:rowOff>
              </from>
              <to>
                <xdr:col>8</xdr:col>
                <xdr:colOff>685800</xdr:colOff>
                <xdr:row>4</xdr:row>
                <xdr:rowOff>88900</xdr:rowOff>
              </to>
            </anchor>
          </controlPr>
        </control>
      </mc:Choice>
    </mc:AlternateContent>
    <mc:AlternateContent xmlns:mc="http://schemas.openxmlformats.org/markup-compatibility/2006">
      <mc:Choice Requires="x14">
        <control shapeId="7172" r:id="rId9" name="Button 4">
          <controlPr defaultSize="0" print="0" autoFill="0" autoPict="0" macro="[0]!Page1">
            <anchor moveWithCells="1" sizeWithCells="1">
              <from>
                <xdr:col>6</xdr:col>
                <xdr:colOff>444500</xdr:colOff>
                <xdr:row>4</xdr:row>
                <xdr:rowOff>120650</xdr:rowOff>
              </from>
              <to>
                <xdr:col>8</xdr:col>
                <xdr:colOff>685800</xdr:colOff>
                <xdr:row>6</xdr:row>
                <xdr:rowOff>19050</xdr:rowOff>
              </to>
            </anchor>
          </controlPr>
        </control>
      </mc:Choice>
    </mc:AlternateContent>
    <mc:AlternateContent xmlns:mc="http://schemas.openxmlformats.org/markup-compatibility/2006">
      <mc:Choice Requires="x14">
        <control shapeId="7174" r:id="rId10" name="Group Box 6">
          <controlPr defaultSize="0" autoFill="0" autoPict="0">
            <anchor moveWithCells="1">
              <from>
                <xdr:col>6</xdr:col>
                <xdr:colOff>273050</xdr:colOff>
                <xdr:row>1</xdr:row>
                <xdr:rowOff>292100</xdr:rowOff>
              </from>
              <to>
                <xdr:col>9</xdr:col>
                <xdr:colOff>146050</xdr:colOff>
                <xdr:row>10</xdr:row>
                <xdr:rowOff>577850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0618E-9ED4-41C4-B46E-ED3DED62808D}">
  <sheetPr codeName="Feuil25">
    <pageSetUpPr fitToPage="1"/>
  </sheetPr>
  <dimension ref="A1:JE1527"/>
  <sheetViews>
    <sheetView showGridLines="0" zoomScale="70" zoomScaleNormal="70" workbookViewId="0">
      <pane ySplit="3" topLeftCell="A4" activePane="bottomLeft" state="frozen"/>
      <selection pane="bottomLeft" activeCell="AA16" sqref="AA16"/>
    </sheetView>
  </sheetViews>
  <sheetFormatPr defaultColWidth="9.36328125" defaultRowHeight="10" x14ac:dyDescent="0.2"/>
  <cols>
    <col min="1" max="1" width="6.453125" style="110" customWidth="1"/>
    <col min="2" max="2" width="9.36328125" style="73"/>
    <col min="3" max="3" width="1.54296875" style="73" customWidth="1"/>
    <col min="4" max="4" width="5.6328125" style="73" customWidth="1"/>
    <col min="5" max="5" width="7.453125" style="73" customWidth="1"/>
    <col min="6" max="7" width="5.6328125" style="73" customWidth="1"/>
    <col min="8" max="8" width="7.7265625" style="73" customWidth="1"/>
    <col min="9" max="9" width="8.90625" style="73" bestFit="1" customWidth="1"/>
    <col min="10" max="14" width="6.7265625" style="73" bestFit="1" customWidth="1"/>
    <col min="15" max="18" width="5.6328125" style="73" customWidth="1"/>
    <col min="19" max="19" width="7.08984375" style="73" customWidth="1"/>
    <col min="20" max="20" width="6.1796875" style="73" customWidth="1"/>
    <col min="21" max="22" width="5.6328125" style="73" customWidth="1"/>
    <col min="23" max="23" width="5.90625" style="73" customWidth="1"/>
    <col min="24" max="24" width="1.54296875" style="77" customWidth="1"/>
    <col min="25" max="25" width="9.08984375" style="73" customWidth="1"/>
    <col min="26" max="265" width="9.36328125" style="110"/>
    <col min="266" max="16384" width="9.36328125" style="73"/>
  </cols>
  <sheetData>
    <row r="1" spans="1:265" s="110" customFormat="1" x14ac:dyDescent="0.2">
      <c r="D1" s="111"/>
    </row>
    <row r="2" spans="1:265" ht="30" customHeight="1" x14ac:dyDescent="0.4">
      <c r="C2" s="74" t="str">
        <f>CompanyName</f>
        <v>Lactalis SA</v>
      </c>
      <c r="D2" s="75"/>
      <c r="E2" s="75"/>
      <c r="F2" s="75"/>
      <c r="G2" s="75"/>
      <c r="H2" s="75"/>
      <c r="I2" s="75"/>
      <c r="J2" s="75"/>
      <c r="K2" s="75"/>
      <c r="L2" s="75"/>
      <c r="M2" s="75"/>
      <c r="N2" s="75"/>
      <c r="O2" s="75"/>
      <c r="P2" s="75"/>
      <c r="Q2" s="75"/>
      <c r="R2" s="75"/>
      <c r="S2" s="75"/>
      <c r="T2" s="75"/>
      <c r="U2" s="75"/>
      <c r="V2" s="75"/>
      <c r="W2" s="76" t="s">
        <v>57</v>
      </c>
    </row>
    <row r="3" spans="1:265" s="78" customFormat="1" ht="30.75" customHeight="1" thickBot="1" x14ac:dyDescent="0.25">
      <c r="A3" s="112"/>
      <c r="C3" s="79" t="s">
        <v>76</v>
      </c>
      <c r="D3" s="79"/>
      <c r="E3" s="79"/>
      <c r="F3" s="79"/>
      <c r="G3" s="79"/>
      <c r="H3" s="79"/>
      <c r="I3" s="79"/>
      <c r="J3" s="79"/>
      <c r="K3" s="79"/>
      <c r="L3" s="79"/>
      <c r="M3" s="79"/>
      <c r="N3" s="79"/>
      <c r="O3" s="79"/>
      <c r="P3" s="79"/>
      <c r="Q3" s="79"/>
      <c r="R3" s="79"/>
      <c r="S3" s="79"/>
      <c r="T3" s="79"/>
      <c r="U3" s="79"/>
      <c r="V3" s="79"/>
      <c r="W3" s="80"/>
      <c r="X3" s="81"/>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BC3" s="112"/>
      <c r="BD3" s="112"/>
      <c r="BE3" s="112"/>
      <c r="BF3" s="112"/>
      <c r="BG3" s="112"/>
      <c r="BH3" s="112"/>
      <c r="BI3" s="112"/>
      <c r="BJ3" s="112"/>
      <c r="BK3" s="112"/>
      <c r="BL3" s="112"/>
      <c r="BM3" s="112"/>
      <c r="BN3" s="112"/>
      <c r="BO3" s="112"/>
      <c r="BP3" s="112"/>
      <c r="BQ3" s="112"/>
      <c r="BR3" s="112"/>
      <c r="BS3" s="112"/>
      <c r="BT3" s="112"/>
      <c r="BU3" s="112"/>
      <c r="BV3" s="112"/>
      <c r="BW3" s="112"/>
      <c r="BX3" s="112"/>
      <c r="BY3" s="112"/>
      <c r="BZ3" s="112"/>
      <c r="CA3" s="112"/>
      <c r="CB3" s="112"/>
      <c r="CC3" s="112"/>
      <c r="CD3" s="112"/>
      <c r="CE3" s="112"/>
      <c r="CF3" s="112"/>
      <c r="CG3" s="112"/>
      <c r="CH3" s="112"/>
      <c r="CI3" s="112"/>
      <c r="CJ3" s="112"/>
      <c r="CK3" s="112"/>
      <c r="CL3" s="112"/>
      <c r="CM3" s="112"/>
      <c r="CN3" s="112"/>
      <c r="CO3" s="112"/>
      <c r="CP3" s="112"/>
      <c r="CQ3" s="112"/>
      <c r="CR3" s="112"/>
      <c r="CS3" s="112"/>
      <c r="CT3" s="112"/>
      <c r="CU3" s="112"/>
      <c r="CV3" s="112"/>
      <c r="CW3" s="112"/>
      <c r="CX3" s="112"/>
      <c r="CY3" s="112"/>
      <c r="CZ3" s="112"/>
      <c r="DA3" s="112"/>
      <c r="DB3" s="112"/>
      <c r="DC3" s="112"/>
      <c r="DD3" s="112"/>
      <c r="DE3" s="112"/>
      <c r="DF3" s="112"/>
      <c r="DG3" s="112"/>
      <c r="DH3" s="112"/>
      <c r="DI3" s="112"/>
      <c r="DJ3" s="112"/>
      <c r="DK3" s="112"/>
      <c r="DL3" s="112"/>
      <c r="DM3" s="112"/>
      <c r="DN3" s="112"/>
      <c r="DO3" s="112"/>
      <c r="DP3" s="112"/>
      <c r="DQ3" s="112"/>
      <c r="DR3" s="112"/>
      <c r="DS3" s="112"/>
      <c r="DT3" s="112"/>
      <c r="DU3" s="112"/>
      <c r="DV3" s="112"/>
      <c r="DW3" s="112"/>
      <c r="DX3" s="112"/>
      <c r="DY3" s="112"/>
      <c r="DZ3" s="112"/>
      <c r="EA3" s="112"/>
      <c r="EB3" s="112"/>
      <c r="EC3" s="112"/>
      <c r="ED3" s="112"/>
      <c r="EE3" s="112"/>
      <c r="EF3" s="112"/>
      <c r="EG3" s="112"/>
      <c r="EH3" s="112"/>
      <c r="EI3" s="112"/>
      <c r="EJ3" s="112"/>
      <c r="EK3" s="112"/>
      <c r="EL3" s="112"/>
      <c r="EM3" s="112"/>
      <c r="EN3" s="112"/>
      <c r="EO3" s="112"/>
      <c r="EP3" s="112"/>
      <c r="EQ3" s="112"/>
      <c r="ER3" s="112"/>
      <c r="ES3" s="112"/>
      <c r="ET3" s="112"/>
      <c r="EU3" s="112"/>
      <c r="EV3" s="112"/>
      <c r="EW3" s="112"/>
      <c r="EX3" s="112"/>
      <c r="EY3" s="112"/>
      <c r="EZ3" s="112"/>
      <c r="FA3" s="112"/>
      <c r="FB3" s="112"/>
      <c r="FC3" s="112"/>
      <c r="FD3" s="112"/>
      <c r="FE3" s="112"/>
      <c r="FF3" s="112"/>
      <c r="FG3" s="112"/>
      <c r="FH3" s="112"/>
      <c r="FI3" s="112"/>
      <c r="FJ3" s="112"/>
      <c r="FK3" s="112"/>
      <c r="FL3" s="112"/>
      <c r="FM3" s="112"/>
      <c r="FN3" s="112"/>
      <c r="FO3" s="112"/>
      <c r="FP3" s="112"/>
      <c r="FQ3" s="112"/>
      <c r="FR3" s="112"/>
      <c r="FS3" s="112"/>
      <c r="FT3" s="112"/>
      <c r="FU3" s="112"/>
      <c r="FV3" s="112"/>
      <c r="FW3" s="112"/>
      <c r="FX3" s="112"/>
      <c r="FY3" s="112"/>
      <c r="FZ3" s="112"/>
      <c r="GA3" s="112"/>
      <c r="GB3" s="112"/>
      <c r="GC3" s="112"/>
      <c r="GD3" s="112"/>
      <c r="GE3" s="112"/>
      <c r="GF3" s="112"/>
      <c r="GG3" s="112"/>
      <c r="GH3" s="112"/>
      <c r="GI3" s="112"/>
      <c r="GJ3" s="112"/>
      <c r="GK3" s="112"/>
      <c r="GL3" s="112"/>
      <c r="GM3" s="112"/>
      <c r="GN3" s="112"/>
      <c r="GO3" s="112"/>
      <c r="GP3" s="112"/>
      <c r="GQ3" s="112"/>
      <c r="GR3" s="112"/>
      <c r="GS3" s="112"/>
      <c r="GT3" s="112"/>
      <c r="GU3" s="112"/>
      <c r="GV3" s="112"/>
      <c r="GW3" s="112"/>
      <c r="GX3" s="112"/>
      <c r="GY3" s="112"/>
      <c r="GZ3" s="112"/>
      <c r="HA3" s="112"/>
      <c r="HB3" s="112"/>
      <c r="HC3" s="112"/>
      <c r="HD3" s="112"/>
      <c r="HE3" s="112"/>
      <c r="HF3" s="112"/>
      <c r="HG3" s="112"/>
      <c r="HH3" s="112"/>
      <c r="HI3" s="112"/>
      <c r="HJ3" s="112"/>
      <c r="HK3" s="112"/>
      <c r="HL3" s="112"/>
      <c r="HM3" s="112"/>
      <c r="HN3" s="112"/>
      <c r="HO3" s="112"/>
      <c r="HP3" s="112"/>
      <c r="HQ3" s="112"/>
      <c r="HR3" s="112"/>
      <c r="HS3" s="112"/>
      <c r="HT3" s="112"/>
      <c r="HU3" s="112"/>
      <c r="HV3" s="112"/>
      <c r="HW3" s="112"/>
      <c r="HX3" s="112"/>
      <c r="HY3" s="112"/>
      <c r="HZ3" s="112"/>
      <c r="IA3" s="112"/>
      <c r="IB3" s="112"/>
      <c r="IC3" s="112"/>
      <c r="ID3" s="112"/>
      <c r="IE3" s="112"/>
      <c r="IF3" s="112"/>
      <c r="IG3" s="112"/>
      <c r="IH3" s="112"/>
      <c r="II3" s="112"/>
      <c r="IJ3" s="112"/>
      <c r="IK3" s="112"/>
      <c r="IL3" s="112"/>
      <c r="IM3" s="112"/>
      <c r="IN3" s="112"/>
      <c r="IO3" s="112"/>
      <c r="IP3" s="112"/>
      <c r="IQ3" s="112"/>
      <c r="IR3" s="112"/>
      <c r="IS3" s="112"/>
      <c r="IT3" s="112"/>
      <c r="IU3" s="112"/>
      <c r="IV3" s="112"/>
      <c r="IW3" s="112"/>
      <c r="IX3" s="112"/>
      <c r="IY3" s="112"/>
      <c r="IZ3" s="112"/>
      <c r="JA3" s="112"/>
      <c r="JB3" s="112"/>
      <c r="JC3" s="112"/>
      <c r="JD3" s="112"/>
      <c r="JE3" s="112"/>
    </row>
    <row r="4" spans="1:265" ht="9.9" customHeight="1" x14ac:dyDescent="0.2">
      <c r="C4" s="82"/>
      <c r="D4" s="82"/>
      <c r="E4" s="82"/>
      <c r="F4" s="82"/>
      <c r="G4" s="82"/>
      <c r="H4" s="82"/>
      <c r="I4" s="82"/>
      <c r="J4" s="82"/>
      <c r="K4" s="82"/>
      <c r="L4" s="82"/>
      <c r="M4" s="82"/>
      <c r="N4" s="82"/>
      <c r="O4" s="82"/>
      <c r="P4" s="82"/>
      <c r="Q4" s="82"/>
      <c r="R4" s="82"/>
      <c r="S4" s="82"/>
      <c r="T4" s="82"/>
      <c r="U4" s="82"/>
      <c r="V4" s="82"/>
      <c r="W4" s="82"/>
      <c r="X4" s="83"/>
    </row>
    <row r="5" spans="1:265" ht="8.15" customHeight="1" thickBot="1" x14ac:dyDescent="0.25">
      <c r="C5" s="82"/>
      <c r="D5" s="84"/>
      <c r="E5" s="84"/>
      <c r="F5" s="84"/>
      <c r="G5" s="84"/>
      <c r="H5" s="84"/>
      <c r="I5" s="84"/>
      <c r="J5" s="84"/>
      <c r="K5" s="84"/>
      <c r="L5" s="84"/>
      <c r="M5" s="84"/>
      <c r="N5" s="84"/>
      <c r="O5" s="84"/>
      <c r="P5" s="84"/>
      <c r="Q5" s="84"/>
      <c r="R5" s="84"/>
      <c r="S5" s="84"/>
      <c r="T5" s="84"/>
      <c r="U5" s="84"/>
      <c r="V5" s="84"/>
      <c r="W5" s="84"/>
      <c r="X5" s="83"/>
    </row>
    <row r="6" spans="1:265" ht="20.149999999999999" customHeight="1" thickBot="1" x14ac:dyDescent="0.25">
      <c r="C6" s="82"/>
      <c r="D6" s="84"/>
      <c r="E6" s="84"/>
      <c r="F6" s="85" t="s">
        <v>58</v>
      </c>
      <c r="G6" s="86" t="s">
        <v>59</v>
      </c>
      <c r="H6" s="84"/>
      <c r="I6" s="85" t="s">
        <v>60</v>
      </c>
      <c r="J6" s="207" t="s">
        <v>111</v>
      </c>
      <c r="K6" s="208"/>
      <c r="L6" s="208"/>
      <c r="M6" s="208"/>
      <c r="N6" s="208"/>
      <c r="O6" s="208"/>
      <c r="P6" s="208"/>
      <c r="Q6" s="208"/>
      <c r="R6" s="208"/>
      <c r="S6" s="208"/>
      <c r="T6" s="208"/>
      <c r="U6" s="208"/>
      <c r="V6" s="209"/>
      <c r="W6" s="84"/>
      <c r="X6" s="83"/>
      <c r="Y6" s="87"/>
    </row>
    <row r="7" spans="1:265" ht="8.15" customHeight="1" thickBot="1" x14ac:dyDescent="0.25">
      <c r="C7" s="82"/>
      <c r="D7" s="84"/>
      <c r="E7" s="84"/>
      <c r="F7" s="84"/>
      <c r="G7" s="84"/>
      <c r="H7" s="84"/>
      <c r="I7" s="84"/>
      <c r="J7" s="84"/>
      <c r="K7" s="84"/>
      <c r="L7" s="84"/>
      <c r="M7" s="84"/>
      <c r="N7" s="84"/>
      <c r="O7" s="84"/>
      <c r="P7" s="84"/>
      <c r="Q7" s="84"/>
      <c r="R7" s="84"/>
      <c r="S7" s="84"/>
      <c r="T7" s="84"/>
      <c r="U7" s="84"/>
      <c r="V7" s="84"/>
      <c r="W7" s="84"/>
      <c r="X7" s="83"/>
    </row>
    <row r="8" spans="1:265" ht="21.65" customHeight="1" thickBot="1" x14ac:dyDescent="0.25">
      <c r="C8" s="82"/>
      <c r="D8" s="84"/>
      <c r="E8" s="84"/>
      <c r="F8" s="85"/>
      <c r="G8" s="85"/>
      <c r="H8" s="84"/>
      <c r="I8" s="85" t="s">
        <v>61</v>
      </c>
      <c r="J8" s="210">
        <v>44963</v>
      </c>
      <c r="K8" s="211"/>
      <c r="L8" s="211"/>
      <c r="M8" s="211"/>
      <c r="N8" s="211"/>
      <c r="O8" s="211"/>
      <c r="P8" s="212"/>
      <c r="Q8" s="213" t="s">
        <v>62</v>
      </c>
      <c r="R8" s="214"/>
      <c r="S8" s="214"/>
      <c r="T8" s="84"/>
      <c r="U8" s="84"/>
      <c r="V8" s="84"/>
      <c r="W8" s="84"/>
      <c r="X8" s="83"/>
    </row>
    <row r="9" spans="1:265" ht="9.65" customHeight="1" thickBot="1" x14ac:dyDescent="0.25">
      <c r="C9" s="82"/>
      <c r="D9" s="84"/>
      <c r="E9" s="84"/>
      <c r="F9" s="84"/>
      <c r="G9" s="84"/>
      <c r="H9" s="84"/>
      <c r="I9" s="84"/>
      <c r="J9" s="84"/>
      <c r="K9" s="84"/>
      <c r="L9" s="84"/>
      <c r="M9" s="84"/>
      <c r="N9" s="84"/>
      <c r="O9" s="84"/>
      <c r="P9" s="84"/>
      <c r="Q9" s="84"/>
      <c r="R9" s="84"/>
      <c r="S9" s="84"/>
      <c r="T9" s="84"/>
      <c r="U9" s="84"/>
      <c r="V9" s="84"/>
      <c r="W9" s="84"/>
      <c r="X9" s="83"/>
    </row>
    <row r="10" spans="1:265" ht="20" customHeight="1" thickBot="1" x14ac:dyDescent="0.4">
      <c r="C10" s="82"/>
      <c r="D10" s="84"/>
      <c r="E10" s="88"/>
      <c r="F10" s="88"/>
      <c r="G10" s="88"/>
      <c r="H10" s="84"/>
      <c r="I10" s="85" t="s">
        <v>63</v>
      </c>
      <c r="J10" s="210">
        <v>44964</v>
      </c>
      <c r="K10" s="211"/>
      <c r="L10" s="211"/>
      <c r="M10" s="211"/>
      <c r="N10" s="211"/>
      <c r="O10" s="211"/>
      <c r="P10" s="212"/>
      <c r="Q10" s="215" t="s">
        <v>64</v>
      </c>
      <c r="R10" s="214"/>
      <c r="S10" s="214"/>
      <c r="T10" s="84"/>
      <c r="U10" s="84"/>
      <c r="V10" s="84"/>
      <c r="W10" s="84"/>
      <c r="X10" s="83"/>
    </row>
    <row r="11" spans="1:265" ht="8.15" customHeight="1" thickBot="1" x14ac:dyDescent="0.25">
      <c r="C11" s="82"/>
      <c r="D11" s="84"/>
      <c r="E11" s="84"/>
      <c r="F11" s="84"/>
      <c r="G11" s="84"/>
      <c r="H11" s="84"/>
      <c r="I11" s="84"/>
      <c r="J11" s="84"/>
      <c r="K11" s="84"/>
      <c r="L11" s="84"/>
      <c r="M11" s="84"/>
      <c r="N11" s="84"/>
      <c r="O11" s="84"/>
      <c r="P11" s="84"/>
      <c r="Q11" s="84"/>
      <c r="R11" s="84"/>
      <c r="S11" s="84"/>
      <c r="T11" s="84"/>
      <c r="U11" s="84"/>
      <c r="V11" s="84"/>
      <c r="W11" s="84"/>
      <c r="X11" s="83"/>
    </row>
    <row r="12" spans="1:265" ht="20.149999999999999" customHeight="1" thickBot="1" x14ac:dyDescent="0.25">
      <c r="C12" s="82"/>
      <c r="D12" s="84"/>
      <c r="E12" s="84"/>
      <c r="F12" s="85" t="s">
        <v>65</v>
      </c>
      <c r="G12" s="196" t="s">
        <v>77</v>
      </c>
      <c r="H12" s="197"/>
      <c r="I12" s="197"/>
      <c r="J12" s="197"/>
      <c r="K12" s="197"/>
      <c r="L12" s="197"/>
      <c r="M12" s="198"/>
      <c r="N12" s="89"/>
      <c r="O12" s="84"/>
      <c r="P12" s="85" t="s">
        <v>66</v>
      </c>
      <c r="Q12" s="199" t="s">
        <v>67</v>
      </c>
      <c r="R12" s="200"/>
      <c r="S12" s="200"/>
      <c r="T12" s="200"/>
      <c r="U12" s="200"/>
      <c r="V12" s="201"/>
      <c r="W12" s="84"/>
      <c r="X12" s="83"/>
    </row>
    <row r="13" spans="1:265" ht="8.15" customHeight="1" thickBot="1" x14ac:dyDescent="0.25">
      <c r="C13" s="82"/>
      <c r="D13" s="84"/>
      <c r="E13" s="84"/>
      <c r="F13" s="84"/>
      <c r="G13" s="84"/>
      <c r="H13" s="84"/>
      <c r="I13" s="84"/>
      <c r="J13" s="84"/>
      <c r="K13" s="84"/>
      <c r="L13" s="84"/>
      <c r="M13" s="84"/>
      <c r="N13" s="84"/>
      <c r="O13" s="84"/>
      <c r="P13" s="84"/>
      <c r="Q13" s="84"/>
      <c r="R13" s="84"/>
      <c r="S13" s="84"/>
      <c r="T13" s="84"/>
      <c r="U13" s="84"/>
      <c r="V13" s="84"/>
      <c r="W13" s="84"/>
      <c r="X13" s="83"/>
    </row>
    <row r="14" spans="1:265" ht="19.5" customHeight="1" x14ac:dyDescent="0.2">
      <c r="C14" s="82"/>
      <c r="D14" s="90" t="s">
        <v>68</v>
      </c>
      <c r="E14" s="91"/>
      <c r="F14" s="91"/>
      <c r="G14" s="91"/>
      <c r="H14" s="91"/>
      <c r="I14" s="91"/>
      <c r="J14" s="91"/>
      <c r="K14" s="91"/>
      <c r="L14" s="91"/>
      <c r="M14" s="91"/>
      <c r="N14" s="91"/>
      <c r="O14" s="91"/>
      <c r="P14" s="91"/>
      <c r="Q14" s="91"/>
      <c r="R14" s="91"/>
      <c r="S14" s="91"/>
      <c r="T14" s="91"/>
      <c r="U14" s="91"/>
      <c r="V14" s="91"/>
      <c r="W14" s="91"/>
      <c r="X14" s="83"/>
    </row>
    <row r="15" spans="1:265" ht="181.5" customHeight="1" thickBot="1" x14ac:dyDescent="0.25">
      <c r="C15" s="82"/>
      <c r="D15" s="92"/>
      <c r="E15" s="92"/>
      <c r="F15" s="92"/>
      <c r="G15" s="92"/>
      <c r="H15" s="92"/>
      <c r="I15" s="92"/>
      <c r="J15" s="92"/>
      <c r="K15" s="92"/>
      <c r="L15" s="92"/>
      <c r="M15" s="92"/>
      <c r="N15" s="92"/>
      <c r="O15" s="92"/>
      <c r="P15" s="92"/>
      <c r="Q15" s="92"/>
      <c r="R15" s="92"/>
      <c r="S15" s="92"/>
      <c r="T15" s="92"/>
      <c r="U15" s="92"/>
      <c r="V15" s="92"/>
      <c r="W15" s="92"/>
      <c r="X15" s="83"/>
    </row>
    <row r="16" spans="1:265" ht="19.5" customHeight="1" x14ac:dyDescent="0.2">
      <c r="C16" s="82"/>
      <c r="D16" s="90" t="s">
        <v>69</v>
      </c>
      <c r="E16" s="91"/>
      <c r="F16" s="91"/>
      <c r="G16" s="91"/>
      <c r="H16" s="91"/>
      <c r="I16" s="91"/>
      <c r="J16" s="91"/>
      <c r="K16" s="91"/>
      <c r="L16" s="91"/>
      <c r="M16" s="91"/>
      <c r="N16" s="91"/>
      <c r="O16" s="91"/>
      <c r="P16" s="91"/>
      <c r="Q16" s="91"/>
      <c r="R16" s="91"/>
      <c r="S16" s="91"/>
      <c r="T16" s="91"/>
      <c r="U16" s="91"/>
      <c r="V16" s="91"/>
      <c r="W16" s="91"/>
      <c r="X16" s="83"/>
    </row>
    <row r="17" spans="3:25" x14ac:dyDescent="0.2">
      <c r="C17" s="82"/>
      <c r="D17" s="93"/>
      <c r="E17" s="93"/>
      <c r="F17" s="93"/>
      <c r="G17" s="93"/>
      <c r="H17" s="93"/>
      <c r="I17" s="94"/>
      <c r="J17" s="93"/>
      <c r="K17" s="95"/>
      <c r="L17" s="95"/>
      <c r="M17" s="93"/>
      <c r="N17" s="93"/>
      <c r="O17" s="93"/>
      <c r="P17" s="93"/>
      <c r="Q17" s="94"/>
      <c r="R17" s="93"/>
      <c r="S17" s="93"/>
      <c r="T17" s="93"/>
      <c r="U17" s="93"/>
      <c r="V17" s="93"/>
      <c r="W17" s="93"/>
      <c r="X17" s="83"/>
    </row>
    <row r="18" spans="3:25" x14ac:dyDescent="0.2">
      <c r="C18" s="82"/>
      <c r="D18" s="93"/>
      <c r="E18" s="93"/>
      <c r="F18" s="93"/>
      <c r="G18" s="93"/>
      <c r="H18" s="93"/>
      <c r="I18" s="96"/>
      <c r="J18" s="93"/>
      <c r="K18" s="93"/>
      <c r="L18" s="93"/>
      <c r="M18" s="93"/>
      <c r="N18" s="93"/>
      <c r="O18" s="93"/>
      <c r="P18" s="93"/>
      <c r="Q18" s="96"/>
      <c r="R18" s="93"/>
      <c r="S18" s="93"/>
      <c r="T18" s="93"/>
      <c r="U18" s="93"/>
      <c r="V18" s="93"/>
      <c r="W18" s="93"/>
      <c r="X18" s="83"/>
    </row>
    <row r="19" spans="3:25" x14ac:dyDescent="0.2">
      <c r="C19" s="82"/>
      <c r="D19" s="93"/>
      <c r="E19" s="93"/>
      <c r="F19" s="93"/>
      <c r="G19" s="93"/>
      <c r="H19" s="93"/>
      <c r="I19" s="96"/>
      <c r="J19" s="93"/>
      <c r="K19" s="93"/>
      <c r="L19" s="93"/>
      <c r="M19" s="93"/>
      <c r="N19" s="93"/>
      <c r="O19" s="93"/>
      <c r="P19" s="93"/>
      <c r="Q19" s="96"/>
      <c r="R19" s="93"/>
      <c r="S19" s="93"/>
      <c r="T19" s="93"/>
      <c r="U19" s="93"/>
      <c r="V19" s="93"/>
      <c r="W19" s="93"/>
      <c r="X19" s="83"/>
    </row>
    <row r="20" spans="3:25" x14ac:dyDescent="0.2">
      <c r="C20" s="82"/>
      <c r="D20" s="93"/>
      <c r="E20" s="93"/>
      <c r="F20" s="93"/>
      <c r="G20" s="93"/>
      <c r="H20" s="93"/>
      <c r="I20" s="96"/>
      <c r="J20" s="93"/>
      <c r="K20" s="93"/>
      <c r="L20" s="93"/>
      <c r="M20" s="93"/>
      <c r="N20" s="93"/>
      <c r="O20" s="93"/>
      <c r="P20" s="93"/>
      <c r="Q20" s="96"/>
      <c r="R20" s="93"/>
      <c r="S20" s="93"/>
      <c r="T20" s="93"/>
      <c r="U20" s="93"/>
      <c r="V20" s="93"/>
      <c r="W20" s="93"/>
      <c r="X20" s="83"/>
    </row>
    <row r="21" spans="3:25" x14ac:dyDescent="0.2">
      <c r="C21" s="82"/>
      <c r="D21" s="93"/>
      <c r="E21" s="93"/>
      <c r="F21" s="93"/>
      <c r="G21" s="93"/>
      <c r="H21" s="93"/>
      <c r="I21" s="96"/>
      <c r="J21" s="93"/>
      <c r="K21" s="93"/>
      <c r="L21" s="93"/>
      <c r="M21" s="93"/>
      <c r="N21" s="93"/>
      <c r="O21" s="93"/>
      <c r="P21" s="93"/>
      <c r="Q21" s="96"/>
      <c r="R21" s="93"/>
      <c r="S21" s="93"/>
      <c r="T21" s="93"/>
      <c r="U21" s="93"/>
      <c r="V21" s="93"/>
      <c r="W21" s="93"/>
      <c r="X21" s="83"/>
    </row>
    <row r="22" spans="3:25" x14ac:dyDescent="0.2">
      <c r="C22" s="82"/>
      <c r="D22" s="93"/>
      <c r="E22" s="93"/>
      <c r="F22" s="93"/>
      <c r="G22" s="93"/>
      <c r="H22" s="93"/>
      <c r="I22" s="96"/>
      <c r="J22" s="93"/>
      <c r="K22" s="93"/>
      <c r="L22" s="93"/>
      <c r="M22" s="93"/>
      <c r="N22" s="93"/>
      <c r="O22" s="93"/>
      <c r="P22" s="93"/>
      <c r="Q22" s="96"/>
      <c r="R22" s="93"/>
      <c r="S22" s="93"/>
      <c r="T22" s="93"/>
      <c r="U22" s="93"/>
      <c r="V22" s="93"/>
      <c r="W22" s="93"/>
      <c r="X22" s="83"/>
    </row>
    <row r="23" spans="3:25" ht="67" customHeight="1" x14ac:dyDescent="0.2">
      <c r="C23" s="82"/>
      <c r="D23" s="93"/>
      <c r="E23" s="93"/>
      <c r="F23" s="93"/>
      <c r="G23" s="93"/>
      <c r="H23" s="93"/>
      <c r="I23" s="96"/>
      <c r="J23" s="93"/>
      <c r="K23" s="93"/>
      <c r="L23" s="93"/>
      <c r="M23" s="93"/>
      <c r="N23" s="93"/>
      <c r="O23" s="93"/>
      <c r="P23" s="93"/>
      <c r="Q23" s="96"/>
      <c r="R23" s="93"/>
      <c r="S23" s="93"/>
      <c r="T23" s="93"/>
      <c r="U23" s="93"/>
      <c r="V23" s="93"/>
      <c r="W23" s="93"/>
      <c r="X23" s="83"/>
    </row>
    <row r="24" spans="3:25" ht="28.5" customHeight="1" thickBot="1" x14ac:dyDescent="0.25">
      <c r="C24" s="82"/>
      <c r="D24" s="93"/>
      <c r="E24" s="93"/>
      <c r="F24" s="93"/>
      <c r="G24" s="93"/>
      <c r="H24" s="93"/>
      <c r="I24" s="93"/>
      <c r="J24" s="93"/>
      <c r="K24" s="93"/>
      <c r="L24" s="93"/>
      <c r="M24" s="93"/>
      <c r="N24" s="93"/>
      <c r="O24" s="93"/>
      <c r="P24" s="93"/>
      <c r="Q24" s="93"/>
      <c r="R24" s="93"/>
      <c r="S24" s="93"/>
      <c r="T24" s="93"/>
      <c r="U24" s="93"/>
      <c r="V24" s="93"/>
      <c r="W24" s="93"/>
      <c r="X24" s="83"/>
    </row>
    <row r="25" spans="3:25" ht="17.5" customHeight="1" x14ac:dyDescent="0.2">
      <c r="C25" s="82"/>
      <c r="D25" s="216" t="s">
        <v>109</v>
      </c>
      <c r="E25" s="216"/>
      <c r="F25" s="216"/>
      <c r="G25" s="216"/>
      <c r="H25" s="216"/>
      <c r="I25" s="216"/>
      <c r="J25" s="216"/>
      <c r="K25" s="216"/>
      <c r="L25" s="216"/>
      <c r="M25" s="216"/>
      <c r="N25" s="216"/>
      <c r="O25" s="216"/>
      <c r="P25" s="216"/>
      <c r="Q25" s="216"/>
      <c r="R25" s="216"/>
      <c r="S25" s="216"/>
      <c r="T25" s="216"/>
      <c r="U25" s="216"/>
      <c r="V25" s="216"/>
      <c r="W25" s="216"/>
      <c r="X25" s="116"/>
      <c r="Y25" s="78"/>
    </row>
    <row r="26" spans="3:25" ht="5" customHeight="1" x14ac:dyDescent="0.2">
      <c r="C26" s="82"/>
      <c r="D26" s="115"/>
      <c r="E26" s="115"/>
      <c r="F26" s="115"/>
      <c r="G26" s="115"/>
      <c r="H26" s="115"/>
      <c r="I26" s="115"/>
      <c r="J26" s="115"/>
      <c r="K26" s="115"/>
      <c r="L26" s="115"/>
      <c r="M26" s="115"/>
      <c r="N26" s="115"/>
      <c r="O26" s="115"/>
      <c r="P26" s="115"/>
      <c r="Q26" s="115"/>
      <c r="R26" s="115"/>
      <c r="S26" s="115"/>
      <c r="T26" s="115"/>
      <c r="U26" s="115"/>
      <c r="V26" s="115"/>
      <c r="W26" s="115"/>
      <c r="X26" s="83"/>
    </row>
    <row r="27" spans="3:25" ht="4.5" customHeight="1" x14ac:dyDescent="0.25">
      <c r="D27" s="217"/>
      <c r="E27" s="217"/>
      <c r="F27" s="217"/>
      <c r="G27" s="217"/>
      <c r="H27" s="113"/>
      <c r="I27" s="113"/>
      <c r="J27" s="113"/>
      <c r="K27" s="113"/>
      <c r="L27" s="113"/>
      <c r="M27" s="113"/>
      <c r="N27" s="113"/>
      <c r="O27" s="113"/>
      <c r="P27" s="113"/>
      <c r="Q27" s="113"/>
      <c r="R27" s="113"/>
      <c r="S27" s="117"/>
      <c r="T27" s="204" t="s">
        <v>78</v>
      </c>
      <c r="U27" s="204" t="s">
        <v>107</v>
      </c>
      <c r="V27" s="204" t="s">
        <v>108</v>
      </c>
      <c r="W27" s="204" t="s">
        <v>110</v>
      </c>
    </row>
    <row r="28" spans="3:25" ht="10.5" x14ac:dyDescent="0.25">
      <c r="D28" s="217"/>
      <c r="E28" s="217"/>
      <c r="F28" s="217"/>
      <c r="G28" s="217"/>
      <c r="H28" s="113"/>
      <c r="I28" s="113"/>
      <c r="J28" s="113"/>
      <c r="K28" s="113"/>
      <c r="L28" s="113"/>
      <c r="M28" s="113"/>
      <c r="N28" s="113"/>
      <c r="O28" s="113"/>
      <c r="P28" s="113"/>
      <c r="Q28" s="113"/>
      <c r="R28" s="113"/>
      <c r="S28" s="117"/>
      <c r="T28" s="205"/>
      <c r="U28" s="205"/>
      <c r="V28" s="205"/>
      <c r="W28" s="205"/>
    </row>
    <row r="29" spans="3:25" ht="14.5" customHeight="1" x14ac:dyDescent="0.25">
      <c r="D29" s="217"/>
      <c r="E29" s="217"/>
      <c r="F29" s="217"/>
      <c r="G29" s="217"/>
      <c r="H29" s="202" t="s">
        <v>83</v>
      </c>
      <c r="I29" s="202" t="s">
        <v>84</v>
      </c>
      <c r="J29" s="202" t="s">
        <v>85</v>
      </c>
      <c r="K29" s="202" t="s">
        <v>86</v>
      </c>
      <c r="L29" s="202" t="s">
        <v>87</v>
      </c>
      <c r="M29" s="202" t="s">
        <v>88</v>
      </c>
      <c r="N29" s="202" t="s">
        <v>89</v>
      </c>
      <c r="O29" s="113"/>
      <c r="P29" s="113"/>
      <c r="Q29" s="113"/>
      <c r="R29" s="113"/>
      <c r="S29" s="117"/>
      <c r="T29" s="205"/>
      <c r="U29" s="205"/>
      <c r="V29" s="205"/>
      <c r="W29" s="205"/>
    </row>
    <row r="30" spans="3:25" ht="10.5" x14ac:dyDescent="0.25">
      <c r="D30" s="217"/>
      <c r="E30" s="217"/>
      <c r="F30" s="217"/>
      <c r="G30" s="217"/>
      <c r="H30" s="202"/>
      <c r="I30" s="202"/>
      <c r="J30" s="202"/>
      <c r="K30" s="202"/>
      <c r="L30" s="202"/>
      <c r="M30" s="202"/>
      <c r="N30" s="202"/>
      <c r="O30" s="113"/>
      <c r="P30" s="113"/>
      <c r="Q30" s="113"/>
      <c r="R30" s="113"/>
      <c r="S30" s="117"/>
      <c r="T30" s="205"/>
      <c r="U30" s="205"/>
      <c r="V30" s="205"/>
      <c r="W30" s="205"/>
    </row>
    <row r="31" spans="3:25" ht="29.5" customHeight="1" thickBot="1" x14ac:dyDescent="0.3">
      <c r="D31" s="217"/>
      <c r="E31" s="217"/>
      <c r="F31" s="217"/>
      <c r="G31" s="217"/>
      <c r="H31" s="203"/>
      <c r="I31" s="203"/>
      <c r="J31" s="203"/>
      <c r="K31" s="203"/>
      <c r="L31" s="203"/>
      <c r="M31" s="203"/>
      <c r="N31" s="203"/>
      <c r="O31" s="123"/>
      <c r="P31" s="123"/>
      <c r="Q31" s="123"/>
      <c r="R31" s="123"/>
      <c r="S31" s="134"/>
      <c r="T31" s="206"/>
      <c r="U31" s="206"/>
      <c r="V31" s="206"/>
      <c r="W31" s="206"/>
    </row>
    <row r="32" spans="3:25" ht="13" customHeight="1" x14ac:dyDescent="0.25">
      <c r="D32" s="176" t="s">
        <v>79</v>
      </c>
      <c r="E32" s="120"/>
      <c r="F32" s="120"/>
      <c r="G32" s="120" t="s">
        <v>95</v>
      </c>
      <c r="H32" s="172">
        <v>0.9</v>
      </c>
      <c r="I32" s="172">
        <v>0.56000000000000005</v>
      </c>
      <c r="J32" s="172">
        <v>0.9</v>
      </c>
      <c r="K32" s="172">
        <v>0.9</v>
      </c>
      <c r="L32" s="172">
        <v>0.9</v>
      </c>
      <c r="M32" s="172">
        <v>0.9</v>
      </c>
      <c r="N32" s="172">
        <v>0.9</v>
      </c>
      <c r="O32" s="137"/>
      <c r="P32" s="137"/>
      <c r="Q32" s="137"/>
      <c r="R32" s="137"/>
      <c r="S32" s="137"/>
      <c r="T32" s="172">
        <f>AVERAGE(H32:N32)</f>
        <v>0.85142857142857153</v>
      </c>
      <c r="U32" s="172">
        <v>0.95</v>
      </c>
      <c r="V32" s="172">
        <v>0.89</v>
      </c>
      <c r="W32" s="177">
        <v>0.85</v>
      </c>
    </row>
    <row r="33" spans="3:24" ht="13" customHeight="1" x14ac:dyDescent="0.25">
      <c r="D33" s="178" t="s">
        <v>104</v>
      </c>
      <c r="E33" s="118"/>
      <c r="F33" s="118"/>
      <c r="G33" s="118" t="s">
        <v>95</v>
      </c>
      <c r="H33" s="173">
        <v>0.85</v>
      </c>
      <c r="I33" s="173">
        <v>0.89</v>
      </c>
      <c r="J33" s="173">
        <v>0.8</v>
      </c>
      <c r="K33" s="173">
        <v>0.8</v>
      </c>
      <c r="L33" s="173">
        <v>0.45</v>
      </c>
      <c r="M33" s="173">
        <v>0.89</v>
      </c>
      <c r="N33" s="173">
        <v>0.8</v>
      </c>
      <c r="O33" s="138"/>
      <c r="P33" s="138"/>
      <c r="Q33" s="138"/>
      <c r="R33" s="138"/>
      <c r="S33" s="138"/>
      <c r="T33" s="173">
        <f t="shared" ref="T33:T46" si="0">AVERAGE(H33:N33)</f>
        <v>0.78285714285714281</v>
      </c>
      <c r="U33" s="173">
        <v>0.8</v>
      </c>
      <c r="V33" s="173">
        <v>0.98</v>
      </c>
      <c r="W33" s="179">
        <v>0.98</v>
      </c>
    </row>
    <row r="34" spans="3:24" ht="13" customHeight="1" x14ac:dyDescent="0.25">
      <c r="D34" s="180" t="s">
        <v>106</v>
      </c>
      <c r="E34" s="114"/>
      <c r="F34" s="114"/>
      <c r="G34" s="114" t="s">
        <v>95</v>
      </c>
      <c r="H34" s="173">
        <v>1</v>
      </c>
      <c r="I34" s="173">
        <v>0.44</v>
      </c>
      <c r="J34" s="173">
        <v>1</v>
      </c>
      <c r="K34" s="173">
        <v>1</v>
      </c>
      <c r="L34" s="173">
        <v>1</v>
      </c>
      <c r="M34" s="173">
        <v>1</v>
      </c>
      <c r="N34" s="173">
        <v>1</v>
      </c>
      <c r="O34" s="141"/>
      <c r="P34" s="141"/>
      <c r="Q34" s="141"/>
      <c r="R34" s="141"/>
      <c r="S34" s="141"/>
      <c r="T34" s="173">
        <f t="shared" si="0"/>
        <v>0.91999999999999993</v>
      </c>
      <c r="U34" s="173">
        <v>1</v>
      </c>
      <c r="V34" s="173">
        <v>1</v>
      </c>
      <c r="W34" s="179">
        <v>1</v>
      </c>
    </row>
    <row r="35" spans="3:24" ht="13" customHeight="1" thickBot="1" x14ac:dyDescent="0.3">
      <c r="D35" s="181" t="s">
        <v>105</v>
      </c>
      <c r="E35" s="119"/>
      <c r="F35" s="119"/>
      <c r="G35" s="119" t="s">
        <v>95</v>
      </c>
      <c r="H35" s="174">
        <v>0.98</v>
      </c>
      <c r="I35" s="174">
        <v>0.98</v>
      </c>
      <c r="J35" s="174">
        <v>0.98</v>
      </c>
      <c r="K35" s="174">
        <v>0.98</v>
      </c>
      <c r="L35" s="174">
        <v>0.98</v>
      </c>
      <c r="M35" s="174">
        <v>0.14000000000000001</v>
      </c>
      <c r="N35" s="174">
        <v>0.98</v>
      </c>
      <c r="O35" s="142"/>
      <c r="P35" s="142"/>
      <c r="Q35" s="142"/>
      <c r="R35" s="142"/>
      <c r="S35" s="142"/>
      <c r="T35" s="174">
        <f t="shared" si="0"/>
        <v>0.86</v>
      </c>
      <c r="U35" s="174">
        <v>0.9</v>
      </c>
      <c r="V35" s="174">
        <v>0.87</v>
      </c>
      <c r="W35" s="182">
        <v>0.94</v>
      </c>
    </row>
    <row r="36" spans="3:24" ht="13" customHeight="1" x14ac:dyDescent="0.25">
      <c r="D36" s="183" t="s">
        <v>80</v>
      </c>
      <c r="E36" s="121"/>
      <c r="F36" s="121"/>
      <c r="G36" s="121" t="s">
        <v>95</v>
      </c>
      <c r="H36" s="172">
        <v>0.85</v>
      </c>
      <c r="I36" s="172">
        <v>0.85</v>
      </c>
      <c r="J36" s="172">
        <v>0.56000000000000005</v>
      </c>
      <c r="K36" s="172">
        <v>0.85</v>
      </c>
      <c r="L36" s="172">
        <v>0.85</v>
      </c>
      <c r="M36" s="172">
        <v>0.85</v>
      </c>
      <c r="N36" s="172">
        <v>0.85</v>
      </c>
      <c r="O36" s="143"/>
      <c r="P36" s="143"/>
      <c r="Q36" s="143"/>
      <c r="R36" s="143"/>
      <c r="S36" s="143"/>
      <c r="T36" s="172">
        <f t="shared" si="0"/>
        <v>0.8085714285714285</v>
      </c>
      <c r="U36" s="172">
        <v>0.85</v>
      </c>
      <c r="V36" s="172">
        <v>0.85</v>
      </c>
      <c r="W36" s="177">
        <v>0.83</v>
      </c>
    </row>
    <row r="37" spans="3:24" ht="13" customHeight="1" x14ac:dyDescent="0.25">
      <c r="D37" s="184" t="s">
        <v>81</v>
      </c>
      <c r="E37" s="122"/>
      <c r="F37" s="122"/>
      <c r="G37" s="122" t="s">
        <v>95</v>
      </c>
      <c r="H37" s="173">
        <v>0.45</v>
      </c>
      <c r="I37" s="173">
        <v>0.85</v>
      </c>
      <c r="J37" s="173">
        <v>0.65</v>
      </c>
      <c r="K37" s="173">
        <v>0.89</v>
      </c>
      <c r="L37" s="173">
        <v>0.34</v>
      </c>
      <c r="M37" s="173">
        <v>0.67</v>
      </c>
      <c r="N37" s="173">
        <v>0.88</v>
      </c>
      <c r="O37" s="136"/>
      <c r="P37" s="136"/>
      <c r="Q37" s="136"/>
      <c r="R37" s="136"/>
      <c r="S37" s="136"/>
      <c r="T37" s="173">
        <f t="shared" si="0"/>
        <v>0.67571428571428582</v>
      </c>
      <c r="U37" s="173">
        <v>0.56000000000000005</v>
      </c>
      <c r="V37" s="173">
        <v>0.67</v>
      </c>
      <c r="W37" s="179">
        <v>0.89</v>
      </c>
    </row>
    <row r="38" spans="3:24" ht="13" customHeight="1" thickBot="1" x14ac:dyDescent="0.3">
      <c r="D38" s="181" t="s">
        <v>82</v>
      </c>
      <c r="E38" s="119"/>
      <c r="F38" s="119"/>
      <c r="G38" s="119" t="s">
        <v>95</v>
      </c>
      <c r="H38" s="174">
        <v>0.9</v>
      </c>
      <c r="I38" s="174">
        <v>0.89</v>
      </c>
      <c r="J38" s="174">
        <v>0.34</v>
      </c>
      <c r="K38" s="174">
        <v>0.56000000000000005</v>
      </c>
      <c r="L38" s="174">
        <v>0.78</v>
      </c>
      <c r="M38" s="174">
        <v>0.9</v>
      </c>
      <c r="N38" s="174">
        <v>0.98</v>
      </c>
      <c r="O38" s="135"/>
      <c r="P38" s="135"/>
      <c r="Q38" s="135"/>
      <c r="R38" s="135"/>
      <c r="S38" s="135"/>
      <c r="T38" s="174">
        <f t="shared" si="0"/>
        <v>0.76428571428571423</v>
      </c>
      <c r="U38" s="174">
        <v>0.78</v>
      </c>
      <c r="V38" s="174">
        <v>0.89</v>
      </c>
      <c r="W38" s="182">
        <v>0.89</v>
      </c>
    </row>
    <row r="39" spans="3:24" ht="13" customHeight="1" x14ac:dyDescent="0.25">
      <c r="D39" s="185" t="s">
        <v>91</v>
      </c>
      <c r="E39" s="124"/>
      <c r="F39" s="124"/>
      <c r="G39" s="148" t="s">
        <v>95</v>
      </c>
      <c r="H39" s="172">
        <v>0.9</v>
      </c>
      <c r="I39" s="172">
        <v>0.78</v>
      </c>
      <c r="J39" s="172">
        <v>0.98</v>
      </c>
      <c r="K39" s="172">
        <v>0.65</v>
      </c>
      <c r="L39" s="172">
        <v>0.45</v>
      </c>
      <c r="M39" s="172">
        <v>0.78</v>
      </c>
      <c r="N39" s="172">
        <v>0.87</v>
      </c>
      <c r="O39" s="145"/>
      <c r="P39" s="145"/>
      <c r="Q39" s="145"/>
      <c r="R39" s="145"/>
      <c r="S39" s="145"/>
      <c r="T39" s="175">
        <f t="shared" si="0"/>
        <v>0.77285714285714291</v>
      </c>
      <c r="U39" s="175">
        <v>0.89</v>
      </c>
      <c r="V39" s="175">
        <v>0.76</v>
      </c>
      <c r="W39" s="186">
        <v>0.56000000000000005</v>
      </c>
    </row>
    <row r="40" spans="3:24" ht="13" customHeight="1" x14ac:dyDescent="0.25">
      <c r="D40" s="178" t="s">
        <v>90</v>
      </c>
      <c r="E40" s="118"/>
      <c r="F40" s="118"/>
      <c r="G40" s="149" t="s">
        <v>95</v>
      </c>
      <c r="H40" s="138">
        <v>2E-3</v>
      </c>
      <c r="I40" s="138">
        <v>2E-3</v>
      </c>
      <c r="J40" s="138">
        <v>2E-3</v>
      </c>
      <c r="K40" s="138">
        <v>4.4999999999999997E-3</v>
      </c>
      <c r="L40" s="138">
        <v>8.0000000000000002E-3</v>
      </c>
      <c r="M40" s="138">
        <v>0.01</v>
      </c>
      <c r="N40" s="138">
        <v>2E-3</v>
      </c>
      <c r="O40" s="138"/>
      <c r="P40" s="138"/>
      <c r="Q40" s="138"/>
      <c r="R40" s="138"/>
      <c r="S40" s="138"/>
      <c r="T40" s="139">
        <f t="shared" si="0"/>
        <v>4.3571428571428572E-3</v>
      </c>
      <c r="U40" s="140">
        <v>0.01</v>
      </c>
      <c r="V40" s="139">
        <v>2E-3</v>
      </c>
      <c r="W40" s="187">
        <v>5.0000000000000001E-3</v>
      </c>
    </row>
    <row r="41" spans="3:24" ht="13" customHeight="1" x14ac:dyDescent="0.25">
      <c r="D41" s="184" t="s">
        <v>92</v>
      </c>
      <c r="E41" s="122"/>
      <c r="F41" s="122"/>
      <c r="G41" s="150" t="s">
        <v>95</v>
      </c>
      <c r="H41" s="144">
        <v>0.02</v>
      </c>
      <c r="I41" s="144">
        <v>0.03</v>
      </c>
      <c r="J41" s="144">
        <v>0.01</v>
      </c>
      <c r="K41" s="144">
        <v>4.4999999999999997E-3</v>
      </c>
      <c r="L41" s="144">
        <v>8.0000000000000002E-3</v>
      </c>
      <c r="M41" s="144">
        <v>0.03</v>
      </c>
      <c r="N41" s="144">
        <v>2E-3</v>
      </c>
      <c r="O41" s="144"/>
      <c r="P41" s="144"/>
      <c r="Q41" s="144"/>
      <c r="R41" s="144"/>
      <c r="S41" s="144"/>
      <c r="T41" s="146">
        <f t="shared" si="0"/>
        <v>1.492857142857143E-2</v>
      </c>
      <c r="U41" s="147">
        <v>0.01</v>
      </c>
      <c r="V41" s="146">
        <v>2E-3</v>
      </c>
      <c r="W41" s="188">
        <v>0.02</v>
      </c>
    </row>
    <row r="42" spans="3:24" ht="13" customHeight="1" x14ac:dyDescent="0.25">
      <c r="D42" s="178" t="s">
        <v>93</v>
      </c>
      <c r="E42" s="118"/>
      <c r="F42" s="118"/>
      <c r="G42" s="149" t="s">
        <v>97</v>
      </c>
      <c r="H42" s="151">
        <v>23000</v>
      </c>
      <c r="I42" s="151">
        <v>234563</v>
      </c>
      <c r="J42" s="151">
        <v>232434</v>
      </c>
      <c r="K42" s="151">
        <v>56788</v>
      </c>
      <c r="L42" s="151">
        <v>998765</v>
      </c>
      <c r="M42" s="151">
        <v>456789</v>
      </c>
      <c r="N42" s="151">
        <v>445667</v>
      </c>
      <c r="O42" s="151"/>
      <c r="P42" s="151"/>
      <c r="Q42" s="151"/>
      <c r="R42" s="151"/>
      <c r="S42" s="151"/>
      <c r="T42" s="152">
        <f t="shared" si="0"/>
        <v>349715.14285714284</v>
      </c>
      <c r="U42" s="153">
        <v>765445</v>
      </c>
      <c r="V42" s="152">
        <v>445678</v>
      </c>
      <c r="W42" s="189">
        <v>454675</v>
      </c>
    </row>
    <row r="43" spans="3:24" ht="13" customHeight="1" thickBot="1" x14ac:dyDescent="0.3">
      <c r="C43" s="82"/>
      <c r="D43" s="190" t="s">
        <v>94</v>
      </c>
      <c r="E43" s="125"/>
      <c r="F43" s="125"/>
      <c r="G43" s="125" t="s">
        <v>96</v>
      </c>
      <c r="H43" s="154">
        <v>23000</v>
      </c>
      <c r="I43" s="154">
        <v>234563</v>
      </c>
      <c r="J43" s="154">
        <v>232434</v>
      </c>
      <c r="K43" s="154">
        <v>56788</v>
      </c>
      <c r="L43" s="154">
        <v>998765</v>
      </c>
      <c r="M43" s="154">
        <v>456789</v>
      </c>
      <c r="N43" s="154">
        <v>445667</v>
      </c>
      <c r="O43" s="154"/>
      <c r="P43" s="154"/>
      <c r="Q43" s="154"/>
      <c r="R43" s="154"/>
      <c r="S43" s="154"/>
      <c r="T43" s="155">
        <f t="shared" si="0"/>
        <v>349715.14285714284</v>
      </c>
      <c r="U43" s="156">
        <v>565789</v>
      </c>
      <c r="V43" s="155">
        <v>767655</v>
      </c>
      <c r="W43" s="191">
        <v>576897</v>
      </c>
      <c r="X43" s="83"/>
    </row>
    <row r="44" spans="3:24" ht="13" customHeight="1" x14ac:dyDescent="0.25">
      <c r="D44" s="183" t="s">
        <v>98</v>
      </c>
      <c r="E44" s="126"/>
      <c r="F44" s="126"/>
      <c r="G44" s="130" t="s">
        <v>102</v>
      </c>
      <c r="H44" s="161">
        <v>0.52037037037037037</v>
      </c>
      <c r="I44" s="161">
        <v>0.562037037037037</v>
      </c>
      <c r="J44" s="161">
        <v>0.60370370370370396</v>
      </c>
      <c r="K44" s="161">
        <v>0.64537037037037004</v>
      </c>
      <c r="L44" s="161">
        <v>0.687037037037037</v>
      </c>
      <c r="M44" s="161">
        <v>0.72870370370370396</v>
      </c>
      <c r="N44" s="161">
        <v>0.77037037037037004</v>
      </c>
      <c r="O44" s="157"/>
      <c r="P44" s="157"/>
      <c r="Q44" s="157"/>
      <c r="R44" s="157"/>
      <c r="S44" s="157"/>
      <c r="T44" s="165">
        <f t="shared" si="0"/>
        <v>0.64537037037037037</v>
      </c>
      <c r="U44" s="166">
        <v>0.64537037037037037</v>
      </c>
      <c r="V44" s="165">
        <v>0.64537037037037037</v>
      </c>
      <c r="W44" s="192">
        <v>0.64537037037037037</v>
      </c>
    </row>
    <row r="45" spans="3:24" ht="13" customHeight="1" x14ac:dyDescent="0.25">
      <c r="D45" s="184" t="s">
        <v>99</v>
      </c>
      <c r="E45" s="127"/>
      <c r="F45" s="127"/>
      <c r="G45" s="131" t="s">
        <v>103</v>
      </c>
      <c r="H45" s="162">
        <v>0.52037037037037037</v>
      </c>
      <c r="I45" s="162">
        <v>0.562037037037037</v>
      </c>
      <c r="J45" s="162">
        <v>0.60370370370370396</v>
      </c>
      <c r="K45" s="162">
        <v>0.64537037037037004</v>
      </c>
      <c r="L45" s="162">
        <v>0.687037037037037</v>
      </c>
      <c r="M45" s="162">
        <v>0.72870370370370396</v>
      </c>
      <c r="N45" s="162">
        <v>0.77037037037037004</v>
      </c>
      <c r="O45" s="158"/>
      <c r="P45" s="158"/>
      <c r="Q45" s="158"/>
      <c r="R45" s="158"/>
      <c r="S45" s="158"/>
      <c r="T45" s="167">
        <f t="shared" si="0"/>
        <v>0.64537037037037037</v>
      </c>
      <c r="U45" s="168">
        <v>0.64537037037037037</v>
      </c>
      <c r="V45" s="167">
        <v>0.64537037037037037</v>
      </c>
      <c r="W45" s="193">
        <v>0.64537037037037037</v>
      </c>
    </row>
    <row r="46" spans="3:24" ht="13" customHeight="1" x14ac:dyDescent="0.25">
      <c r="D46" s="178" t="s">
        <v>100</v>
      </c>
      <c r="E46" s="128"/>
      <c r="F46" s="128"/>
      <c r="G46" s="132" t="s">
        <v>103</v>
      </c>
      <c r="H46" s="163">
        <v>0.52037037037037037</v>
      </c>
      <c r="I46" s="163">
        <v>0.562037037037037</v>
      </c>
      <c r="J46" s="163">
        <v>0.60370370370370396</v>
      </c>
      <c r="K46" s="163">
        <v>0.64537037037037004</v>
      </c>
      <c r="L46" s="163">
        <v>0.687037037037037</v>
      </c>
      <c r="M46" s="163">
        <v>0.72870370370370396</v>
      </c>
      <c r="N46" s="163">
        <v>0.77037037037037004</v>
      </c>
      <c r="O46" s="159"/>
      <c r="P46" s="159"/>
      <c r="Q46" s="159"/>
      <c r="R46" s="159"/>
      <c r="S46" s="159"/>
      <c r="T46" s="169">
        <f t="shared" si="0"/>
        <v>0.64537037037037037</v>
      </c>
      <c r="U46" s="170">
        <v>0.64537037037037037</v>
      </c>
      <c r="V46" s="169">
        <v>0.64537037037037037</v>
      </c>
      <c r="W46" s="194">
        <v>0.64537037037037037</v>
      </c>
    </row>
    <row r="47" spans="3:24" ht="13" customHeight="1" thickBot="1" x14ac:dyDescent="0.3">
      <c r="D47" s="190" t="s">
        <v>101</v>
      </c>
      <c r="E47" s="129"/>
      <c r="F47" s="129"/>
      <c r="G47" s="133" t="s">
        <v>95</v>
      </c>
      <c r="H47" s="164">
        <v>0.45</v>
      </c>
      <c r="I47" s="164">
        <v>0.562037037037037</v>
      </c>
      <c r="J47" s="164">
        <v>0.60370370370370396</v>
      </c>
      <c r="K47" s="164">
        <v>0.64537037037037004</v>
      </c>
      <c r="L47" s="164">
        <v>0.687037037037037</v>
      </c>
      <c r="M47" s="164">
        <v>0.72870370370370396</v>
      </c>
      <c r="N47" s="164">
        <v>0.77037037037037004</v>
      </c>
      <c r="O47" s="160"/>
      <c r="P47" s="160"/>
      <c r="Q47" s="160"/>
      <c r="R47" s="160"/>
      <c r="S47" s="160"/>
      <c r="T47" s="171">
        <v>0.65</v>
      </c>
      <c r="U47" s="171">
        <v>0.65</v>
      </c>
      <c r="V47" s="171">
        <v>0.65</v>
      </c>
      <c r="W47" s="195">
        <v>0.65</v>
      </c>
    </row>
    <row r="51" s="110" customFormat="1" x14ac:dyDescent="0.2"/>
    <row r="52" s="110" customFormat="1" x14ac:dyDescent="0.2"/>
    <row r="53" s="110" customFormat="1" x14ac:dyDescent="0.2"/>
    <row r="54" s="110" customFormat="1" x14ac:dyDescent="0.2"/>
    <row r="55" s="110" customFormat="1" x14ac:dyDescent="0.2"/>
    <row r="56" s="110" customFormat="1" x14ac:dyDescent="0.2"/>
    <row r="57" s="110" customFormat="1" x14ac:dyDescent="0.2"/>
    <row r="58" s="110" customFormat="1" x14ac:dyDescent="0.2"/>
    <row r="59" s="110" customFormat="1" x14ac:dyDescent="0.2"/>
    <row r="60" s="110" customFormat="1" x14ac:dyDescent="0.2"/>
    <row r="61" s="110" customFormat="1" x14ac:dyDescent="0.2"/>
    <row r="62" s="110" customFormat="1" x14ac:dyDescent="0.2"/>
    <row r="63" s="110" customFormat="1" x14ac:dyDescent="0.2"/>
    <row r="64" s="110" customFormat="1" x14ac:dyDescent="0.2"/>
    <row r="65" s="110" customFormat="1" x14ac:dyDescent="0.2"/>
    <row r="66" s="110" customFormat="1" x14ac:dyDescent="0.2"/>
    <row r="67" s="110" customFormat="1" x14ac:dyDescent="0.2"/>
    <row r="68" s="110" customFormat="1" x14ac:dyDescent="0.2"/>
    <row r="69" s="110" customFormat="1" x14ac:dyDescent="0.2"/>
    <row r="70" s="110" customFormat="1" x14ac:dyDescent="0.2"/>
    <row r="71" s="110" customFormat="1" x14ac:dyDescent="0.2"/>
    <row r="72" s="110" customFormat="1" x14ac:dyDescent="0.2"/>
    <row r="73" s="110" customFormat="1" x14ac:dyDescent="0.2"/>
    <row r="74" s="110" customFormat="1" x14ac:dyDescent="0.2"/>
    <row r="75" s="110" customFormat="1" x14ac:dyDescent="0.2"/>
    <row r="76" s="110" customFormat="1" x14ac:dyDescent="0.2"/>
    <row r="77" s="110" customFormat="1" x14ac:dyDescent="0.2"/>
    <row r="78" s="110" customFormat="1" x14ac:dyDescent="0.2"/>
    <row r="79" s="110" customFormat="1" x14ac:dyDescent="0.2"/>
    <row r="80" s="110" customFormat="1" x14ac:dyDescent="0.2"/>
    <row r="81" s="110" customFormat="1" x14ac:dyDescent="0.2"/>
    <row r="82" s="110" customFormat="1" x14ac:dyDescent="0.2"/>
    <row r="83" s="110" customFormat="1" x14ac:dyDescent="0.2"/>
    <row r="84" s="110" customFormat="1" x14ac:dyDescent="0.2"/>
    <row r="85" s="110" customFormat="1" x14ac:dyDescent="0.2"/>
    <row r="86" s="110" customFormat="1" x14ac:dyDescent="0.2"/>
    <row r="87" s="110" customFormat="1" x14ac:dyDescent="0.2"/>
    <row r="88" s="110" customFormat="1" x14ac:dyDescent="0.2"/>
    <row r="89" s="110" customFormat="1" x14ac:dyDescent="0.2"/>
    <row r="90" s="110" customFormat="1" x14ac:dyDescent="0.2"/>
    <row r="91" s="110" customFormat="1" x14ac:dyDescent="0.2"/>
    <row r="92" s="110" customFormat="1" x14ac:dyDescent="0.2"/>
    <row r="93" s="110" customFormat="1" x14ac:dyDescent="0.2"/>
    <row r="94" s="110" customFormat="1" x14ac:dyDescent="0.2"/>
    <row r="95" s="110" customFormat="1" x14ac:dyDescent="0.2"/>
    <row r="96" s="110" customFormat="1" x14ac:dyDescent="0.2"/>
    <row r="97" s="110" customFormat="1" x14ac:dyDescent="0.2"/>
    <row r="98" s="110" customFormat="1" x14ac:dyDescent="0.2"/>
    <row r="99" s="110" customFormat="1" x14ac:dyDescent="0.2"/>
    <row r="100" s="110" customFormat="1" x14ac:dyDescent="0.2"/>
    <row r="101" s="110" customFormat="1" x14ac:dyDescent="0.2"/>
    <row r="102" s="110" customFormat="1" x14ac:dyDescent="0.2"/>
    <row r="103" s="110" customFormat="1" x14ac:dyDescent="0.2"/>
    <row r="104" s="110" customFormat="1" x14ac:dyDescent="0.2"/>
    <row r="105" s="110" customFormat="1" x14ac:dyDescent="0.2"/>
    <row r="106" s="110" customFormat="1" x14ac:dyDescent="0.2"/>
    <row r="107" s="110" customFormat="1" x14ac:dyDescent="0.2"/>
    <row r="108" s="110" customFormat="1" x14ac:dyDescent="0.2"/>
    <row r="109" s="110" customFormat="1" x14ac:dyDescent="0.2"/>
    <row r="110" s="110" customFormat="1" x14ac:dyDescent="0.2"/>
    <row r="111" s="110" customFormat="1" x14ac:dyDescent="0.2"/>
    <row r="112" s="110" customFormat="1" x14ac:dyDescent="0.2"/>
    <row r="113" s="110" customFormat="1" x14ac:dyDescent="0.2"/>
    <row r="114" s="110" customFormat="1" x14ac:dyDescent="0.2"/>
    <row r="115" s="110" customFormat="1" x14ac:dyDescent="0.2"/>
    <row r="116" s="110" customFormat="1" x14ac:dyDescent="0.2"/>
    <row r="117" s="110" customFormat="1" x14ac:dyDescent="0.2"/>
    <row r="118" s="110" customFormat="1" x14ac:dyDescent="0.2"/>
    <row r="119" s="110" customFormat="1" x14ac:dyDescent="0.2"/>
    <row r="120" s="110" customFormat="1" x14ac:dyDescent="0.2"/>
    <row r="121" s="110" customFormat="1" x14ac:dyDescent="0.2"/>
    <row r="122" s="110" customFormat="1" x14ac:dyDescent="0.2"/>
    <row r="123" s="110" customFormat="1" x14ac:dyDescent="0.2"/>
    <row r="124" s="110" customFormat="1" x14ac:dyDescent="0.2"/>
    <row r="125" s="110" customFormat="1" x14ac:dyDescent="0.2"/>
    <row r="126" s="110" customFormat="1" x14ac:dyDescent="0.2"/>
    <row r="127" s="110" customFormat="1" x14ac:dyDescent="0.2"/>
    <row r="128" s="110" customFormat="1" x14ac:dyDescent="0.2"/>
    <row r="129" s="110" customFormat="1" x14ac:dyDescent="0.2"/>
    <row r="130" s="110" customFormat="1" x14ac:dyDescent="0.2"/>
    <row r="131" s="110" customFormat="1" x14ac:dyDescent="0.2"/>
    <row r="132" s="110" customFormat="1" x14ac:dyDescent="0.2"/>
    <row r="133" s="110" customFormat="1" x14ac:dyDescent="0.2"/>
    <row r="134" s="110" customFormat="1" x14ac:dyDescent="0.2"/>
    <row r="135" s="110" customFormat="1" x14ac:dyDescent="0.2"/>
    <row r="136" s="110" customFormat="1" x14ac:dyDescent="0.2"/>
    <row r="137" s="110" customFormat="1" x14ac:dyDescent="0.2"/>
    <row r="138" s="110" customFormat="1" x14ac:dyDescent="0.2"/>
    <row r="139" s="110" customFormat="1" x14ac:dyDescent="0.2"/>
    <row r="140" s="110" customFormat="1" x14ac:dyDescent="0.2"/>
    <row r="141" s="110" customFormat="1" x14ac:dyDescent="0.2"/>
    <row r="142" s="110" customFormat="1" x14ac:dyDescent="0.2"/>
    <row r="143" s="110" customFormat="1" x14ac:dyDescent="0.2"/>
    <row r="144" s="110" customFormat="1" x14ac:dyDescent="0.2"/>
    <row r="145" s="110" customFormat="1" x14ac:dyDescent="0.2"/>
    <row r="146" s="110" customFormat="1" x14ac:dyDescent="0.2"/>
    <row r="147" s="110" customFormat="1" x14ac:dyDescent="0.2"/>
    <row r="148" s="110" customFormat="1" x14ac:dyDescent="0.2"/>
    <row r="149" s="110" customFormat="1" x14ac:dyDescent="0.2"/>
    <row r="150" s="110" customFormat="1" x14ac:dyDescent="0.2"/>
    <row r="151" s="110" customFormat="1" x14ac:dyDescent="0.2"/>
    <row r="152" s="110" customFormat="1" x14ac:dyDescent="0.2"/>
    <row r="153" s="110" customFormat="1" x14ac:dyDescent="0.2"/>
    <row r="154" s="110" customFormat="1" x14ac:dyDescent="0.2"/>
    <row r="155" s="110" customFormat="1" x14ac:dyDescent="0.2"/>
    <row r="156" s="110" customFormat="1" x14ac:dyDescent="0.2"/>
    <row r="157" s="110" customFormat="1" x14ac:dyDescent="0.2"/>
    <row r="158" s="110" customFormat="1" x14ac:dyDescent="0.2"/>
    <row r="159" s="110" customFormat="1" x14ac:dyDescent="0.2"/>
    <row r="160" s="110" customFormat="1" x14ac:dyDescent="0.2"/>
    <row r="161" s="110" customFormat="1" x14ac:dyDescent="0.2"/>
    <row r="162" s="110" customFormat="1" x14ac:dyDescent="0.2"/>
    <row r="163" s="110" customFormat="1" x14ac:dyDescent="0.2"/>
    <row r="164" s="110" customFormat="1" x14ac:dyDescent="0.2"/>
    <row r="165" s="110" customFormat="1" x14ac:dyDescent="0.2"/>
    <row r="166" s="110" customFormat="1" x14ac:dyDescent="0.2"/>
    <row r="167" s="110" customFormat="1" x14ac:dyDescent="0.2"/>
    <row r="168" s="110" customFormat="1" x14ac:dyDescent="0.2"/>
    <row r="169" s="110" customFormat="1" x14ac:dyDescent="0.2"/>
    <row r="170" s="110" customFormat="1" x14ac:dyDescent="0.2"/>
    <row r="171" s="110" customFormat="1" x14ac:dyDescent="0.2"/>
    <row r="172" s="110" customFormat="1" x14ac:dyDescent="0.2"/>
    <row r="173" s="110" customFormat="1" x14ac:dyDescent="0.2"/>
    <row r="174" s="110" customFormat="1" x14ac:dyDescent="0.2"/>
    <row r="175" s="110" customFormat="1" x14ac:dyDescent="0.2"/>
    <row r="176" s="110" customFormat="1" x14ac:dyDescent="0.2"/>
    <row r="177" s="110" customFormat="1" x14ac:dyDescent="0.2"/>
    <row r="178" s="110" customFormat="1" x14ac:dyDescent="0.2"/>
    <row r="179" s="110" customFormat="1" x14ac:dyDescent="0.2"/>
    <row r="180" s="110" customFormat="1" x14ac:dyDescent="0.2"/>
    <row r="181" s="110" customFormat="1" x14ac:dyDescent="0.2"/>
    <row r="182" s="110" customFormat="1" x14ac:dyDescent="0.2"/>
    <row r="183" s="110" customFormat="1" x14ac:dyDescent="0.2"/>
    <row r="184" s="110" customFormat="1" x14ac:dyDescent="0.2"/>
    <row r="185" s="110" customFormat="1" x14ac:dyDescent="0.2"/>
    <row r="186" s="110" customFormat="1" x14ac:dyDescent="0.2"/>
    <row r="187" s="110" customFormat="1" x14ac:dyDescent="0.2"/>
    <row r="188" s="110" customFormat="1" x14ac:dyDescent="0.2"/>
    <row r="189" s="110" customFormat="1" x14ac:dyDescent="0.2"/>
    <row r="190" s="110" customFormat="1" x14ac:dyDescent="0.2"/>
    <row r="191" s="110" customFormat="1" x14ac:dyDescent="0.2"/>
    <row r="192" s="110" customFormat="1" x14ac:dyDescent="0.2"/>
    <row r="193" s="110" customFormat="1" x14ac:dyDescent="0.2"/>
    <row r="194" s="110" customFormat="1" x14ac:dyDescent="0.2"/>
    <row r="195" s="110" customFormat="1" x14ac:dyDescent="0.2"/>
    <row r="196" s="110" customFormat="1" x14ac:dyDescent="0.2"/>
    <row r="197" s="110" customFormat="1" x14ac:dyDescent="0.2"/>
    <row r="198" s="110" customFormat="1" x14ac:dyDescent="0.2"/>
    <row r="199" s="110" customFormat="1" x14ac:dyDescent="0.2"/>
    <row r="200" s="110" customFormat="1" x14ac:dyDescent="0.2"/>
    <row r="201" s="110" customFormat="1" x14ac:dyDescent="0.2"/>
    <row r="202" s="110" customFormat="1" x14ac:dyDescent="0.2"/>
    <row r="203" s="110" customFormat="1" x14ac:dyDescent="0.2"/>
    <row r="204" s="110" customFormat="1" x14ac:dyDescent="0.2"/>
    <row r="205" s="110" customFormat="1" x14ac:dyDescent="0.2"/>
    <row r="206" s="110" customFormat="1" x14ac:dyDescent="0.2"/>
    <row r="207" s="110" customFormat="1" x14ac:dyDescent="0.2"/>
    <row r="208" s="110" customFormat="1" x14ac:dyDescent="0.2"/>
    <row r="209" s="110" customFormat="1" x14ac:dyDescent="0.2"/>
    <row r="210" s="110" customFormat="1" x14ac:dyDescent="0.2"/>
    <row r="211" s="110" customFormat="1" x14ac:dyDescent="0.2"/>
    <row r="212" s="110" customFormat="1" x14ac:dyDescent="0.2"/>
    <row r="213" s="110" customFormat="1" x14ac:dyDescent="0.2"/>
    <row r="214" s="110" customFormat="1" x14ac:dyDescent="0.2"/>
    <row r="215" s="110" customFormat="1" x14ac:dyDescent="0.2"/>
    <row r="216" s="110" customFormat="1" x14ac:dyDescent="0.2"/>
    <row r="217" s="110" customFormat="1" x14ac:dyDescent="0.2"/>
    <row r="218" s="110" customFormat="1" x14ac:dyDescent="0.2"/>
    <row r="219" s="110" customFormat="1" x14ac:dyDescent="0.2"/>
    <row r="220" s="110" customFormat="1" x14ac:dyDescent="0.2"/>
    <row r="221" s="110" customFormat="1" x14ac:dyDescent="0.2"/>
    <row r="222" s="110" customFormat="1" x14ac:dyDescent="0.2"/>
    <row r="223" s="110" customFormat="1" x14ac:dyDescent="0.2"/>
    <row r="224" s="110" customFormat="1" x14ac:dyDescent="0.2"/>
    <row r="225" s="110" customFormat="1" x14ac:dyDescent="0.2"/>
    <row r="226" s="110" customFormat="1" x14ac:dyDescent="0.2"/>
    <row r="227" s="110" customFormat="1" x14ac:dyDescent="0.2"/>
    <row r="228" s="110" customFormat="1" x14ac:dyDescent="0.2"/>
    <row r="229" s="110" customFormat="1" x14ac:dyDescent="0.2"/>
    <row r="230" s="110" customFormat="1" x14ac:dyDescent="0.2"/>
    <row r="231" s="110" customFormat="1" x14ac:dyDescent="0.2"/>
    <row r="232" s="110" customFormat="1" x14ac:dyDescent="0.2"/>
    <row r="233" s="110" customFormat="1" x14ac:dyDescent="0.2"/>
    <row r="234" s="110" customFormat="1" x14ac:dyDescent="0.2"/>
    <row r="235" s="110" customFormat="1" x14ac:dyDescent="0.2"/>
    <row r="236" s="110" customFormat="1" x14ac:dyDescent="0.2"/>
    <row r="237" s="110" customFormat="1" x14ac:dyDescent="0.2"/>
    <row r="238" s="110" customFormat="1" x14ac:dyDescent="0.2"/>
    <row r="239" s="110" customFormat="1" x14ac:dyDescent="0.2"/>
    <row r="240" s="110" customFormat="1" x14ac:dyDescent="0.2"/>
    <row r="241" s="110" customFormat="1" x14ac:dyDescent="0.2"/>
    <row r="242" s="110" customFormat="1" x14ac:dyDescent="0.2"/>
    <row r="243" s="110" customFormat="1" x14ac:dyDescent="0.2"/>
    <row r="244" s="110" customFormat="1" x14ac:dyDescent="0.2"/>
    <row r="245" s="110" customFormat="1" x14ac:dyDescent="0.2"/>
    <row r="246" s="110" customFormat="1" x14ac:dyDescent="0.2"/>
    <row r="247" s="110" customFormat="1" x14ac:dyDescent="0.2"/>
    <row r="248" s="110" customFormat="1" x14ac:dyDescent="0.2"/>
    <row r="249" s="110" customFormat="1" x14ac:dyDescent="0.2"/>
    <row r="250" s="110" customFormat="1" x14ac:dyDescent="0.2"/>
    <row r="251" s="110" customFormat="1" x14ac:dyDescent="0.2"/>
    <row r="252" s="110" customFormat="1" x14ac:dyDescent="0.2"/>
    <row r="253" s="110" customFormat="1" x14ac:dyDescent="0.2"/>
    <row r="254" s="110" customFormat="1" x14ac:dyDescent="0.2"/>
    <row r="255" s="110" customFormat="1" x14ac:dyDescent="0.2"/>
    <row r="256" s="110" customFormat="1" x14ac:dyDescent="0.2"/>
    <row r="257" s="110" customFormat="1" x14ac:dyDescent="0.2"/>
    <row r="258" s="110" customFormat="1" x14ac:dyDescent="0.2"/>
    <row r="259" s="110" customFormat="1" x14ac:dyDescent="0.2"/>
    <row r="260" s="110" customFormat="1" x14ac:dyDescent="0.2"/>
    <row r="261" s="110" customFormat="1" x14ac:dyDescent="0.2"/>
    <row r="262" s="110" customFormat="1" x14ac:dyDescent="0.2"/>
    <row r="263" s="110" customFormat="1" x14ac:dyDescent="0.2"/>
    <row r="264" s="110" customFormat="1" x14ac:dyDescent="0.2"/>
    <row r="265" s="110" customFormat="1" x14ac:dyDescent="0.2"/>
    <row r="266" s="110" customFormat="1" x14ac:dyDescent="0.2"/>
    <row r="267" s="110" customFormat="1" x14ac:dyDescent="0.2"/>
    <row r="268" s="110" customFormat="1" x14ac:dyDescent="0.2"/>
    <row r="269" s="110" customFormat="1" x14ac:dyDescent="0.2"/>
    <row r="270" s="110" customFormat="1" x14ac:dyDescent="0.2"/>
    <row r="271" s="110" customFormat="1" x14ac:dyDescent="0.2"/>
    <row r="272" s="110" customFormat="1" x14ac:dyDescent="0.2"/>
    <row r="273" s="110" customFormat="1" x14ac:dyDescent="0.2"/>
    <row r="274" s="110" customFormat="1" x14ac:dyDescent="0.2"/>
    <row r="275" s="110" customFormat="1" x14ac:dyDescent="0.2"/>
    <row r="276" s="110" customFormat="1" x14ac:dyDescent="0.2"/>
    <row r="277" s="110" customFormat="1" x14ac:dyDescent="0.2"/>
    <row r="278" s="110" customFormat="1" x14ac:dyDescent="0.2"/>
    <row r="279" s="110" customFormat="1" x14ac:dyDescent="0.2"/>
    <row r="280" s="110" customFormat="1" x14ac:dyDescent="0.2"/>
    <row r="281" s="110" customFormat="1" x14ac:dyDescent="0.2"/>
    <row r="282" s="110" customFormat="1" x14ac:dyDescent="0.2"/>
    <row r="283" s="110" customFormat="1" x14ac:dyDescent="0.2"/>
    <row r="284" s="110" customFormat="1" x14ac:dyDescent="0.2"/>
    <row r="285" s="110" customFormat="1" x14ac:dyDescent="0.2"/>
    <row r="286" s="110" customFormat="1" x14ac:dyDescent="0.2"/>
    <row r="287" s="110" customFormat="1" x14ac:dyDescent="0.2"/>
    <row r="288" s="110" customFormat="1" x14ac:dyDescent="0.2"/>
    <row r="289" s="110" customFormat="1" x14ac:dyDescent="0.2"/>
    <row r="290" s="110" customFormat="1" x14ac:dyDescent="0.2"/>
    <row r="291" s="110" customFormat="1" x14ac:dyDescent="0.2"/>
    <row r="292" s="110" customFormat="1" x14ac:dyDescent="0.2"/>
    <row r="293" s="110" customFormat="1" x14ac:dyDescent="0.2"/>
    <row r="294" s="110" customFormat="1" x14ac:dyDescent="0.2"/>
    <row r="295" s="110" customFormat="1" x14ac:dyDescent="0.2"/>
    <row r="296" s="110" customFormat="1" x14ac:dyDescent="0.2"/>
    <row r="297" s="110" customFormat="1" x14ac:dyDescent="0.2"/>
    <row r="298" s="110" customFormat="1" x14ac:dyDescent="0.2"/>
    <row r="299" s="110" customFormat="1" x14ac:dyDescent="0.2"/>
    <row r="300" s="110" customFormat="1" x14ac:dyDescent="0.2"/>
    <row r="301" s="110" customFormat="1" x14ac:dyDescent="0.2"/>
    <row r="302" s="110" customFormat="1" x14ac:dyDescent="0.2"/>
    <row r="303" s="110" customFormat="1" x14ac:dyDescent="0.2"/>
    <row r="304" s="110" customFormat="1" x14ac:dyDescent="0.2"/>
    <row r="305" s="110" customFormat="1" x14ac:dyDescent="0.2"/>
    <row r="306" s="110" customFormat="1" x14ac:dyDescent="0.2"/>
    <row r="307" s="110" customFormat="1" x14ac:dyDescent="0.2"/>
    <row r="308" s="110" customFormat="1" x14ac:dyDescent="0.2"/>
    <row r="309" s="110" customFormat="1" x14ac:dyDescent="0.2"/>
    <row r="310" s="110" customFormat="1" x14ac:dyDescent="0.2"/>
    <row r="311" s="110" customFormat="1" x14ac:dyDescent="0.2"/>
    <row r="312" s="110" customFormat="1" x14ac:dyDescent="0.2"/>
    <row r="313" s="110" customFormat="1" x14ac:dyDescent="0.2"/>
    <row r="314" s="110" customFormat="1" x14ac:dyDescent="0.2"/>
    <row r="315" s="110" customFormat="1" x14ac:dyDescent="0.2"/>
    <row r="316" s="110" customFormat="1" x14ac:dyDescent="0.2"/>
    <row r="317" s="110" customFormat="1" x14ac:dyDescent="0.2"/>
    <row r="318" s="110" customFormat="1" x14ac:dyDescent="0.2"/>
    <row r="319" s="110" customFormat="1" x14ac:dyDescent="0.2"/>
    <row r="320" s="110" customFormat="1" x14ac:dyDescent="0.2"/>
    <row r="321" s="110" customFormat="1" x14ac:dyDescent="0.2"/>
    <row r="322" s="110" customFormat="1" x14ac:dyDescent="0.2"/>
    <row r="323" s="110" customFormat="1" x14ac:dyDescent="0.2"/>
    <row r="324" s="110" customFormat="1" x14ac:dyDescent="0.2"/>
    <row r="325" s="110" customFormat="1" x14ac:dyDescent="0.2"/>
    <row r="326" s="110" customFormat="1" x14ac:dyDescent="0.2"/>
    <row r="327" s="110" customFormat="1" x14ac:dyDescent="0.2"/>
    <row r="328" s="110" customFormat="1" x14ac:dyDescent="0.2"/>
    <row r="329" s="110" customFormat="1" x14ac:dyDescent="0.2"/>
    <row r="330" s="110" customFormat="1" x14ac:dyDescent="0.2"/>
    <row r="331" s="110" customFormat="1" x14ac:dyDescent="0.2"/>
    <row r="332" s="110" customFormat="1" x14ac:dyDescent="0.2"/>
    <row r="333" s="110" customFormat="1" x14ac:dyDescent="0.2"/>
    <row r="334" s="110" customFormat="1" x14ac:dyDescent="0.2"/>
    <row r="335" s="110" customFormat="1" x14ac:dyDescent="0.2"/>
    <row r="336" s="110" customFormat="1" x14ac:dyDescent="0.2"/>
    <row r="337" s="110" customFormat="1" x14ac:dyDescent="0.2"/>
    <row r="338" s="110" customFormat="1" x14ac:dyDescent="0.2"/>
    <row r="339" s="110" customFormat="1" x14ac:dyDescent="0.2"/>
    <row r="340" s="110" customFormat="1" x14ac:dyDescent="0.2"/>
    <row r="341" s="110" customFormat="1" x14ac:dyDescent="0.2"/>
    <row r="342" s="110" customFormat="1" x14ac:dyDescent="0.2"/>
    <row r="343" s="110" customFormat="1" x14ac:dyDescent="0.2"/>
    <row r="344" s="110" customFormat="1" x14ac:dyDescent="0.2"/>
    <row r="345" s="110" customFormat="1" x14ac:dyDescent="0.2"/>
    <row r="346" s="110" customFormat="1" x14ac:dyDescent="0.2"/>
    <row r="347" s="110" customFormat="1" x14ac:dyDescent="0.2"/>
    <row r="348" s="110" customFormat="1" x14ac:dyDescent="0.2"/>
    <row r="349" s="110" customFormat="1" x14ac:dyDescent="0.2"/>
    <row r="350" s="110" customFormat="1" x14ac:dyDescent="0.2"/>
    <row r="351" s="110" customFormat="1" x14ac:dyDescent="0.2"/>
    <row r="352" s="110" customFormat="1" x14ac:dyDescent="0.2"/>
    <row r="353" s="110" customFormat="1" x14ac:dyDescent="0.2"/>
    <row r="354" s="110" customFormat="1" x14ac:dyDescent="0.2"/>
    <row r="355" s="110" customFormat="1" x14ac:dyDescent="0.2"/>
    <row r="356" s="110" customFormat="1" x14ac:dyDescent="0.2"/>
    <row r="357" s="110" customFormat="1" x14ac:dyDescent="0.2"/>
    <row r="358" s="110" customFormat="1" x14ac:dyDescent="0.2"/>
    <row r="359" s="110" customFormat="1" x14ac:dyDescent="0.2"/>
    <row r="360" s="110" customFormat="1" x14ac:dyDescent="0.2"/>
    <row r="361" s="110" customFormat="1" x14ac:dyDescent="0.2"/>
    <row r="362" s="110" customFormat="1" x14ac:dyDescent="0.2"/>
    <row r="363" s="110" customFormat="1" x14ac:dyDescent="0.2"/>
    <row r="364" s="110" customFormat="1" x14ac:dyDescent="0.2"/>
    <row r="365" s="110" customFormat="1" x14ac:dyDescent="0.2"/>
    <row r="366" s="110" customFormat="1" x14ac:dyDescent="0.2"/>
    <row r="367" s="110" customFormat="1" x14ac:dyDescent="0.2"/>
    <row r="368" s="110" customFormat="1" x14ac:dyDescent="0.2"/>
    <row r="369" s="110" customFormat="1" x14ac:dyDescent="0.2"/>
    <row r="370" s="110" customFormat="1" x14ac:dyDescent="0.2"/>
    <row r="371" s="110" customFormat="1" x14ac:dyDescent="0.2"/>
    <row r="372" s="110" customFormat="1" x14ac:dyDescent="0.2"/>
    <row r="373" s="110" customFormat="1" x14ac:dyDescent="0.2"/>
    <row r="374" s="110" customFormat="1" x14ac:dyDescent="0.2"/>
    <row r="375" s="110" customFormat="1" x14ac:dyDescent="0.2"/>
    <row r="376" s="110" customFormat="1" x14ac:dyDescent="0.2"/>
    <row r="377" s="110" customFormat="1" x14ac:dyDescent="0.2"/>
    <row r="378" s="110" customFormat="1" x14ac:dyDescent="0.2"/>
    <row r="379" s="110" customFormat="1" x14ac:dyDescent="0.2"/>
    <row r="380" s="110" customFormat="1" x14ac:dyDescent="0.2"/>
    <row r="381" s="110" customFormat="1" x14ac:dyDescent="0.2"/>
    <row r="382" s="110" customFormat="1" x14ac:dyDescent="0.2"/>
    <row r="383" s="110" customFormat="1" x14ac:dyDescent="0.2"/>
    <row r="384" s="110" customFormat="1" x14ac:dyDescent="0.2"/>
    <row r="385" s="110" customFormat="1" x14ac:dyDescent="0.2"/>
    <row r="386" s="110" customFormat="1" x14ac:dyDescent="0.2"/>
    <row r="387" s="110" customFormat="1" x14ac:dyDescent="0.2"/>
    <row r="388" s="110" customFormat="1" x14ac:dyDescent="0.2"/>
    <row r="389" s="110" customFormat="1" x14ac:dyDescent="0.2"/>
    <row r="390" s="110" customFormat="1" x14ac:dyDescent="0.2"/>
    <row r="391" s="110" customFormat="1" x14ac:dyDescent="0.2"/>
    <row r="392" s="110" customFormat="1" x14ac:dyDescent="0.2"/>
    <row r="393" s="110" customFormat="1" x14ac:dyDescent="0.2"/>
    <row r="394" s="110" customFormat="1" x14ac:dyDescent="0.2"/>
    <row r="395" s="110" customFormat="1" x14ac:dyDescent="0.2"/>
    <row r="396" s="110" customFormat="1" x14ac:dyDescent="0.2"/>
    <row r="397" s="110" customFormat="1" x14ac:dyDescent="0.2"/>
    <row r="398" s="110" customFormat="1" x14ac:dyDescent="0.2"/>
    <row r="399" s="110" customFormat="1" x14ac:dyDescent="0.2"/>
    <row r="400" s="110" customFormat="1" x14ac:dyDescent="0.2"/>
    <row r="401" s="110" customFormat="1" x14ac:dyDescent="0.2"/>
    <row r="402" s="110" customFormat="1" x14ac:dyDescent="0.2"/>
    <row r="403" s="110" customFormat="1" x14ac:dyDescent="0.2"/>
    <row r="404" s="110" customFormat="1" x14ac:dyDescent="0.2"/>
    <row r="405" s="110" customFormat="1" x14ac:dyDescent="0.2"/>
    <row r="406" s="110" customFormat="1" x14ac:dyDescent="0.2"/>
    <row r="407" s="110" customFormat="1" x14ac:dyDescent="0.2"/>
    <row r="408" s="110" customFormat="1" x14ac:dyDescent="0.2"/>
    <row r="409" s="110" customFormat="1" x14ac:dyDescent="0.2"/>
    <row r="410" s="110" customFormat="1" x14ac:dyDescent="0.2"/>
    <row r="411" s="110" customFormat="1" x14ac:dyDescent="0.2"/>
    <row r="412" s="110" customFormat="1" x14ac:dyDescent="0.2"/>
    <row r="413" s="110" customFormat="1" x14ac:dyDescent="0.2"/>
    <row r="414" s="110" customFormat="1" x14ac:dyDescent="0.2"/>
    <row r="415" s="110" customFormat="1" x14ac:dyDescent="0.2"/>
    <row r="416" s="110" customFormat="1" x14ac:dyDescent="0.2"/>
    <row r="417" s="110" customFormat="1" x14ac:dyDescent="0.2"/>
    <row r="418" s="110" customFormat="1" x14ac:dyDescent="0.2"/>
    <row r="419" s="110" customFormat="1" x14ac:dyDescent="0.2"/>
    <row r="420" s="110" customFormat="1" x14ac:dyDescent="0.2"/>
    <row r="421" s="110" customFormat="1" x14ac:dyDescent="0.2"/>
    <row r="422" s="110" customFormat="1" x14ac:dyDescent="0.2"/>
    <row r="423" s="110" customFormat="1" x14ac:dyDescent="0.2"/>
    <row r="424" s="110" customFormat="1" x14ac:dyDescent="0.2"/>
    <row r="425" s="110" customFormat="1" x14ac:dyDescent="0.2"/>
    <row r="426" s="110" customFormat="1" x14ac:dyDescent="0.2"/>
    <row r="427" s="110" customFormat="1" x14ac:dyDescent="0.2"/>
    <row r="428" s="110" customFormat="1" x14ac:dyDescent="0.2"/>
    <row r="429" s="110" customFormat="1" x14ac:dyDescent="0.2"/>
    <row r="430" s="110" customFormat="1" x14ac:dyDescent="0.2"/>
    <row r="431" s="110" customFormat="1" x14ac:dyDescent="0.2"/>
    <row r="432" s="110" customFormat="1" x14ac:dyDescent="0.2"/>
    <row r="433" s="110" customFormat="1" x14ac:dyDescent="0.2"/>
    <row r="434" s="110" customFormat="1" x14ac:dyDescent="0.2"/>
    <row r="435" s="110" customFormat="1" x14ac:dyDescent="0.2"/>
    <row r="436" s="110" customFormat="1" x14ac:dyDescent="0.2"/>
    <row r="437" s="110" customFormat="1" x14ac:dyDescent="0.2"/>
    <row r="438" s="110" customFormat="1" x14ac:dyDescent="0.2"/>
    <row r="439" s="110" customFormat="1" x14ac:dyDescent="0.2"/>
    <row r="440" s="110" customFormat="1" x14ac:dyDescent="0.2"/>
    <row r="441" s="110" customFormat="1" x14ac:dyDescent="0.2"/>
    <row r="442" s="110" customFormat="1" x14ac:dyDescent="0.2"/>
    <row r="443" s="110" customFormat="1" x14ac:dyDescent="0.2"/>
    <row r="444" s="110" customFormat="1" x14ac:dyDescent="0.2"/>
    <row r="445" s="110" customFormat="1" x14ac:dyDescent="0.2"/>
    <row r="446" s="110" customFormat="1" x14ac:dyDescent="0.2"/>
    <row r="447" s="110" customFormat="1" x14ac:dyDescent="0.2"/>
    <row r="448" s="110" customFormat="1" x14ac:dyDescent="0.2"/>
    <row r="449" s="110" customFormat="1" x14ac:dyDescent="0.2"/>
    <row r="450" s="110" customFormat="1" x14ac:dyDescent="0.2"/>
    <row r="451" s="110" customFormat="1" x14ac:dyDescent="0.2"/>
    <row r="452" s="110" customFormat="1" x14ac:dyDescent="0.2"/>
    <row r="453" s="110" customFormat="1" x14ac:dyDescent="0.2"/>
    <row r="454" s="110" customFormat="1" x14ac:dyDescent="0.2"/>
    <row r="455" s="110" customFormat="1" x14ac:dyDescent="0.2"/>
    <row r="456" s="110" customFormat="1" x14ac:dyDescent="0.2"/>
    <row r="457" s="110" customFormat="1" x14ac:dyDescent="0.2"/>
    <row r="458" s="110" customFormat="1" x14ac:dyDescent="0.2"/>
    <row r="459" s="110" customFormat="1" x14ac:dyDescent="0.2"/>
    <row r="460" s="110" customFormat="1" x14ac:dyDescent="0.2"/>
    <row r="461" s="110" customFormat="1" x14ac:dyDescent="0.2"/>
    <row r="462" s="110" customFormat="1" x14ac:dyDescent="0.2"/>
    <row r="463" s="110" customFormat="1" x14ac:dyDescent="0.2"/>
    <row r="464" s="110" customFormat="1" x14ac:dyDescent="0.2"/>
    <row r="465" s="110" customFormat="1" x14ac:dyDescent="0.2"/>
    <row r="466" s="110" customFormat="1" x14ac:dyDescent="0.2"/>
    <row r="467" s="110" customFormat="1" x14ac:dyDescent="0.2"/>
    <row r="468" s="110" customFormat="1" x14ac:dyDescent="0.2"/>
    <row r="469" s="110" customFormat="1" x14ac:dyDescent="0.2"/>
    <row r="470" s="110" customFormat="1" x14ac:dyDescent="0.2"/>
    <row r="471" s="110" customFormat="1" x14ac:dyDescent="0.2"/>
    <row r="472" s="110" customFormat="1" x14ac:dyDescent="0.2"/>
    <row r="473" s="110" customFormat="1" x14ac:dyDescent="0.2"/>
    <row r="474" s="110" customFormat="1" x14ac:dyDescent="0.2"/>
    <row r="475" s="110" customFormat="1" x14ac:dyDescent="0.2"/>
    <row r="476" s="110" customFormat="1" x14ac:dyDescent="0.2"/>
    <row r="477" s="110" customFormat="1" x14ac:dyDescent="0.2"/>
    <row r="478" s="110" customFormat="1" x14ac:dyDescent="0.2"/>
    <row r="479" s="110" customFormat="1" x14ac:dyDescent="0.2"/>
    <row r="480" s="110" customFormat="1" x14ac:dyDescent="0.2"/>
    <row r="481" s="110" customFormat="1" x14ac:dyDescent="0.2"/>
    <row r="482" s="110" customFormat="1" x14ac:dyDescent="0.2"/>
    <row r="483" s="110" customFormat="1" x14ac:dyDescent="0.2"/>
    <row r="484" s="110" customFormat="1" x14ac:dyDescent="0.2"/>
    <row r="485" s="110" customFormat="1" x14ac:dyDescent="0.2"/>
    <row r="486" s="110" customFormat="1" x14ac:dyDescent="0.2"/>
    <row r="487" s="110" customFormat="1" x14ac:dyDescent="0.2"/>
    <row r="488" s="110" customFormat="1" x14ac:dyDescent="0.2"/>
    <row r="489" s="110" customFormat="1" x14ac:dyDescent="0.2"/>
    <row r="490" s="110" customFormat="1" x14ac:dyDescent="0.2"/>
    <row r="491" s="110" customFormat="1" x14ac:dyDescent="0.2"/>
    <row r="492" s="110" customFormat="1" x14ac:dyDescent="0.2"/>
    <row r="493" s="110" customFormat="1" x14ac:dyDescent="0.2"/>
    <row r="494" s="110" customFormat="1" x14ac:dyDescent="0.2"/>
    <row r="495" s="110" customFormat="1" x14ac:dyDescent="0.2"/>
    <row r="496" s="110" customFormat="1" x14ac:dyDescent="0.2"/>
    <row r="497" s="110" customFormat="1" x14ac:dyDescent="0.2"/>
    <row r="498" s="110" customFormat="1" x14ac:dyDescent="0.2"/>
    <row r="499" s="110" customFormat="1" x14ac:dyDescent="0.2"/>
    <row r="500" s="110" customFormat="1" x14ac:dyDescent="0.2"/>
    <row r="501" s="110" customFormat="1" x14ac:dyDescent="0.2"/>
    <row r="502" s="110" customFormat="1" x14ac:dyDescent="0.2"/>
    <row r="503" s="110" customFormat="1" x14ac:dyDescent="0.2"/>
    <row r="504" s="110" customFormat="1" x14ac:dyDescent="0.2"/>
    <row r="505" s="110" customFormat="1" x14ac:dyDescent="0.2"/>
    <row r="506" s="110" customFormat="1" x14ac:dyDescent="0.2"/>
    <row r="507" s="110" customFormat="1" x14ac:dyDescent="0.2"/>
    <row r="508" s="110" customFormat="1" x14ac:dyDescent="0.2"/>
    <row r="509" s="110" customFormat="1" x14ac:dyDescent="0.2"/>
    <row r="510" s="110" customFormat="1" x14ac:dyDescent="0.2"/>
    <row r="511" s="110" customFormat="1" x14ac:dyDescent="0.2"/>
    <row r="512" s="110" customFormat="1" x14ac:dyDescent="0.2"/>
    <row r="513" s="110" customFormat="1" x14ac:dyDescent="0.2"/>
    <row r="514" s="110" customFormat="1" x14ac:dyDescent="0.2"/>
    <row r="515" s="110" customFormat="1" x14ac:dyDescent="0.2"/>
    <row r="516" s="110" customFormat="1" x14ac:dyDescent="0.2"/>
    <row r="517" s="110" customFormat="1" x14ac:dyDescent="0.2"/>
    <row r="518" s="110" customFormat="1" x14ac:dyDescent="0.2"/>
    <row r="519" s="110" customFormat="1" x14ac:dyDescent="0.2"/>
    <row r="520" s="110" customFormat="1" x14ac:dyDescent="0.2"/>
    <row r="521" s="110" customFormat="1" x14ac:dyDescent="0.2"/>
    <row r="522" s="110" customFormat="1" x14ac:dyDescent="0.2"/>
    <row r="523" s="110" customFormat="1" x14ac:dyDescent="0.2"/>
    <row r="524" s="110" customFormat="1" x14ac:dyDescent="0.2"/>
    <row r="525" s="110" customFormat="1" x14ac:dyDescent="0.2"/>
    <row r="526" s="110" customFormat="1" x14ac:dyDescent="0.2"/>
    <row r="527" s="110" customFormat="1" x14ac:dyDescent="0.2"/>
    <row r="528" s="110" customFormat="1" x14ac:dyDescent="0.2"/>
    <row r="529" s="110" customFormat="1" x14ac:dyDescent="0.2"/>
    <row r="530" s="110" customFormat="1" x14ac:dyDescent="0.2"/>
    <row r="531" s="110" customFormat="1" x14ac:dyDescent="0.2"/>
    <row r="532" s="110" customFormat="1" x14ac:dyDescent="0.2"/>
    <row r="533" s="110" customFormat="1" x14ac:dyDescent="0.2"/>
    <row r="534" s="110" customFormat="1" x14ac:dyDescent="0.2"/>
    <row r="535" s="110" customFormat="1" x14ac:dyDescent="0.2"/>
    <row r="536" s="110" customFormat="1" x14ac:dyDescent="0.2"/>
    <row r="537" s="110" customFormat="1" x14ac:dyDescent="0.2"/>
    <row r="538" s="110" customFormat="1" x14ac:dyDescent="0.2"/>
    <row r="539" s="110" customFormat="1" x14ac:dyDescent="0.2"/>
    <row r="540" s="110" customFormat="1" x14ac:dyDescent="0.2"/>
    <row r="541" s="110" customFormat="1" x14ac:dyDescent="0.2"/>
    <row r="542" s="110" customFormat="1" x14ac:dyDescent="0.2"/>
    <row r="543" s="110" customFormat="1" x14ac:dyDescent="0.2"/>
    <row r="544" s="110" customFormat="1" x14ac:dyDescent="0.2"/>
    <row r="545" s="110" customFormat="1" x14ac:dyDescent="0.2"/>
    <row r="546" s="110" customFormat="1" x14ac:dyDescent="0.2"/>
    <row r="547" s="110" customFormat="1" x14ac:dyDescent="0.2"/>
    <row r="548" s="110" customFormat="1" x14ac:dyDescent="0.2"/>
    <row r="549" s="110" customFormat="1" x14ac:dyDescent="0.2"/>
    <row r="550" s="110" customFormat="1" x14ac:dyDescent="0.2"/>
    <row r="551" s="110" customFormat="1" x14ac:dyDescent="0.2"/>
    <row r="552" s="110" customFormat="1" x14ac:dyDescent="0.2"/>
    <row r="553" s="110" customFormat="1" x14ac:dyDescent="0.2"/>
    <row r="554" s="110" customFormat="1" x14ac:dyDescent="0.2"/>
    <row r="555" s="110" customFormat="1" x14ac:dyDescent="0.2"/>
    <row r="556" s="110" customFormat="1" x14ac:dyDescent="0.2"/>
    <row r="557" s="110" customFormat="1" x14ac:dyDescent="0.2"/>
    <row r="558" s="110" customFormat="1" x14ac:dyDescent="0.2"/>
    <row r="559" s="110" customFormat="1" x14ac:dyDescent="0.2"/>
    <row r="560" s="110" customFormat="1" x14ac:dyDescent="0.2"/>
    <row r="561" s="110" customFormat="1" x14ac:dyDescent="0.2"/>
    <row r="562" s="110" customFormat="1" x14ac:dyDescent="0.2"/>
    <row r="563" s="110" customFormat="1" x14ac:dyDescent="0.2"/>
    <row r="564" s="110" customFormat="1" x14ac:dyDescent="0.2"/>
    <row r="565" s="110" customFormat="1" x14ac:dyDescent="0.2"/>
    <row r="566" s="110" customFormat="1" x14ac:dyDescent="0.2"/>
    <row r="567" s="110" customFormat="1" x14ac:dyDescent="0.2"/>
    <row r="568" s="110" customFormat="1" x14ac:dyDescent="0.2"/>
    <row r="569" s="110" customFormat="1" x14ac:dyDescent="0.2"/>
    <row r="570" s="110" customFormat="1" x14ac:dyDescent="0.2"/>
    <row r="571" s="110" customFormat="1" x14ac:dyDescent="0.2"/>
    <row r="572" s="110" customFormat="1" x14ac:dyDescent="0.2"/>
    <row r="573" s="110" customFormat="1" x14ac:dyDescent="0.2"/>
    <row r="574" s="110" customFormat="1" x14ac:dyDescent="0.2"/>
    <row r="575" s="110" customFormat="1" x14ac:dyDescent="0.2"/>
    <row r="576" s="110" customFormat="1" x14ac:dyDescent="0.2"/>
    <row r="577" s="110" customFormat="1" x14ac:dyDescent="0.2"/>
    <row r="578" s="110" customFormat="1" x14ac:dyDescent="0.2"/>
    <row r="579" s="110" customFormat="1" x14ac:dyDescent="0.2"/>
    <row r="580" s="110" customFormat="1" x14ac:dyDescent="0.2"/>
    <row r="581" s="110" customFormat="1" x14ac:dyDescent="0.2"/>
    <row r="582" s="110" customFormat="1" x14ac:dyDescent="0.2"/>
    <row r="583" s="110" customFormat="1" x14ac:dyDescent="0.2"/>
    <row r="584" s="110" customFormat="1" x14ac:dyDescent="0.2"/>
    <row r="585" s="110" customFormat="1" x14ac:dyDescent="0.2"/>
    <row r="586" s="110" customFormat="1" x14ac:dyDescent="0.2"/>
    <row r="587" s="110" customFormat="1" x14ac:dyDescent="0.2"/>
    <row r="588" s="110" customFormat="1" x14ac:dyDescent="0.2"/>
    <row r="589" s="110" customFormat="1" x14ac:dyDescent="0.2"/>
    <row r="590" s="110" customFormat="1" x14ac:dyDescent="0.2"/>
    <row r="591" s="110" customFormat="1" x14ac:dyDescent="0.2"/>
    <row r="592" s="110" customFormat="1" x14ac:dyDescent="0.2"/>
    <row r="593" s="110" customFormat="1" x14ac:dyDescent="0.2"/>
    <row r="594" s="110" customFormat="1" x14ac:dyDescent="0.2"/>
    <row r="595" s="110" customFormat="1" x14ac:dyDescent="0.2"/>
    <row r="596" s="110" customFormat="1" x14ac:dyDescent="0.2"/>
    <row r="597" s="110" customFormat="1" x14ac:dyDescent="0.2"/>
    <row r="598" s="110" customFormat="1" x14ac:dyDescent="0.2"/>
    <row r="599" s="110" customFormat="1" x14ac:dyDescent="0.2"/>
    <row r="600" s="110" customFormat="1" x14ac:dyDescent="0.2"/>
    <row r="601" s="110" customFormat="1" x14ac:dyDescent="0.2"/>
    <row r="602" s="110" customFormat="1" x14ac:dyDescent="0.2"/>
    <row r="603" s="110" customFormat="1" x14ac:dyDescent="0.2"/>
    <row r="604" s="110" customFormat="1" x14ac:dyDescent="0.2"/>
    <row r="605" s="110" customFormat="1" x14ac:dyDescent="0.2"/>
    <row r="606" s="110" customFormat="1" x14ac:dyDescent="0.2"/>
    <row r="607" s="110" customFormat="1" x14ac:dyDescent="0.2"/>
    <row r="608" s="110" customFormat="1" x14ac:dyDescent="0.2"/>
    <row r="609" s="110" customFormat="1" x14ac:dyDescent="0.2"/>
    <row r="610" s="110" customFormat="1" x14ac:dyDescent="0.2"/>
    <row r="611" s="110" customFormat="1" x14ac:dyDescent="0.2"/>
    <row r="612" s="110" customFormat="1" x14ac:dyDescent="0.2"/>
    <row r="613" s="110" customFormat="1" x14ac:dyDescent="0.2"/>
    <row r="614" s="110" customFormat="1" x14ac:dyDescent="0.2"/>
    <row r="615" s="110" customFormat="1" x14ac:dyDescent="0.2"/>
    <row r="616" s="110" customFormat="1" x14ac:dyDescent="0.2"/>
    <row r="617" s="110" customFormat="1" x14ac:dyDescent="0.2"/>
    <row r="618" s="110" customFormat="1" x14ac:dyDescent="0.2"/>
    <row r="619" s="110" customFormat="1" x14ac:dyDescent="0.2"/>
    <row r="620" s="110" customFormat="1" x14ac:dyDescent="0.2"/>
    <row r="621" s="110" customFormat="1" x14ac:dyDescent="0.2"/>
    <row r="622" s="110" customFormat="1" x14ac:dyDescent="0.2"/>
    <row r="623" s="110" customFormat="1" x14ac:dyDescent="0.2"/>
    <row r="624" s="110" customFormat="1" x14ac:dyDescent="0.2"/>
    <row r="625" s="110" customFormat="1" x14ac:dyDescent="0.2"/>
    <row r="626" s="110" customFormat="1" x14ac:dyDescent="0.2"/>
    <row r="627" s="110" customFormat="1" x14ac:dyDescent="0.2"/>
    <row r="628" s="110" customFormat="1" x14ac:dyDescent="0.2"/>
    <row r="629" s="110" customFormat="1" x14ac:dyDescent="0.2"/>
    <row r="630" s="110" customFormat="1" x14ac:dyDescent="0.2"/>
    <row r="631" s="110" customFormat="1" x14ac:dyDescent="0.2"/>
    <row r="632" s="110" customFormat="1" x14ac:dyDescent="0.2"/>
    <row r="633" s="110" customFormat="1" x14ac:dyDescent="0.2"/>
    <row r="634" s="110" customFormat="1" x14ac:dyDescent="0.2"/>
    <row r="635" s="110" customFormat="1" x14ac:dyDescent="0.2"/>
    <row r="636" s="110" customFormat="1" x14ac:dyDescent="0.2"/>
    <row r="637" s="110" customFormat="1" x14ac:dyDescent="0.2"/>
    <row r="638" s="110" customFormat="1" x14ac:dyDescent="0.2"/>
    <row r="639" s="110" customFormat="1" x14ac:dyDescent="0.2"/>
    <row r="640" s="110" customFormat="1" x14ac:dyDescent="0.2"/>
    <row r="641" s="110" customFormat="1" x14ac:dyDescent="0.2"/>
    <row r="642" s="110" customFormat="1" x14ac:dyDescent="0.2"/>
    <row r="643" s="110" customFormat="1" x14ac:dyDescent="0.2"/>
    <row r="644" s="110" customFormat="1" x14ac:dyDescent="0.2"/>
    <row r="645" s="110" customFormat="1" x14ac:dyDescent="0.2"/>
    <row r="646" s="110" customFormat="1" x14ac:dyDescent="0.2"/>
    <row r="647" s="110" customFormat="1" x14ac:dyDescent="0.2"/>
    <row r="648" s="110" customFormat="1" x14ac:dyDescent="0.2"/>
    <row r="649" s="110" customFormat="1" x14ac:dyDescent="0.2"/>
    <row r="650" s="110" customFormat="1" x14ac:dyDescent="0.2"/>
    <row r="651" s="110" customFormat="1" x14ac:dyDescent="0.2"/>
    <row r="652" s="110" customFormat="1" x14ac:dyDescent="0.2"/>
    <row r="653" s="110" customFormat="1" x14ac:dyDescent="0.2"/>
    <row r="654" s="110" customFormat="1" x14ac:dyDescent="0.2"/>
    <row r="655" s="110" customFormat="1" x14ac:dyDescent="0.2"/>
    <row r="656" s="110" customFormat="1" x14ac:dyDescent="0.2"/>
    <row r="657" s="110" customFormat="1" x14ac:dyDescent="0.2"/>
    <row r="658" s="110" customFormat="1" x14ac:dyDescent="0.2"/>
    <row r="659" s="110" customFormat="1" x14ac:dyDescent="0.2"/>
    <row r="660" s="110" customFormat="1" x14ac:dyDescent="0.2"/>
    <row r="661" s="110" customFormat="1" x14ac:dyDescent="0.2"/>
    <row r="662" s="110" customFormat="1" x14ac:dyDescent="0.2"/>
    <row r="663" s="110" customFormat="1" x14ac:dyDescent="0.2"/>
    <row r="664" s="110" customFormat="1" x14ac:dyDescent="0.2"/>
    <row r="665" s="110" customFormat="1" x14ac:dyDescent="0.2"/>
    <row r="666" s="110" customFormat="1" x14ac:dyDescent="0.2"/>
    <row r="667" s="110" customFormat="1" x14ac:dyDescent="0.2"/>
    <row r="668" s="110" customFormat="1" x14ac:dyDescent="0.2"/>
    <row r="669" s="110" customFormat="1" x14ac:dyDescent="0.2"/>
    <row r="670" s="110" customFormat="1" x14ac:dyDescent="0.2"/>
    <row r="671" s="110" customFormat="1" x14ac:dyDescent="0.2"/>
    <row r="672" s="110" customFormat="1" x14ac:dyDescent="0.2"/>
    <row r="673" s="110" customFormat="1" x14ac:dyDescent="0.2"/>
    <row r="674" s="110" customFormat="1" x14ac:dyDescent="0.2"/>
    <row r="675" s="110" customFormat="1" x14ac:dyDescent="0.2"/>
    <row r="676" s="110" customFormat="1" x14ac:dyDescent="0.2"/>
    <row r="677" s="110" customFormat="1" x14ac:dyDescent="0.2"/>
    <row r="678" s="110" customFormat="1" x14ac:dyDescent="0.2"/>
    <row r="679" s="110" customFormat="1" x14ac:dyDescent="0.2"/>
    <row r="680" s="110" customFormat="1" x14ac:dyDescent="0.2"/>
    <row r="681" s="110" customFormat="1" x14ac:dyDescent="0.2"/>
    <row r="682" s="110" customFormat="1" x14ac:dyDescent="0.2"/>
    <row r="683" s="110" customFormat="1" x14ac:dyDescent="0.2"/>
    <row r="684" s="110" customFormat="1" x14ac:dyDescent="0.2"/>
    <row r="685" s="110" customFormat="1" x14ac:dyDescent="0.2"/>
    <row r="686" s="110" customFormat="1" x14ac:dyDescent="0.2"/>
    <row r="687" s="110" customFormat="1" x14ac:dyDescent="0.2"/>
    <row r="688" s="110" customFormat="1" x14ac:dyDescent="0.2"/>
    <row r="689" s="110" customFormat="1" x14ac:dyDescent="0.2"/>
    <row r="690" s="110" customFormat="1" x14ac:dyDescent="0.2"/>
    <row r="691" s="110" customFormat="1" x14ac:dyDescent="0.2"/>
    <row r="692" s="110" customFormat="1" x14ac:dyDescent="0.2"/>
    <row r="693" s="110" customFormat="1" x14ac:dyDescent="0.2"/>
    <row r="694" s="110" customFormat="1" x14ac:dyDescent="0.2"/>
    <row r="695" s="110" customFormat="1" x14ac:dyDescent="0.2"/>
    <row r="696" s="110" customFormat="1" x14ac:dyDescent="0.2"/>
    <row r="697" s="110" customFormat="1" x14ac:dyDescent="0.2"/>
    <row r="698" s="110" customFormat="1" x14ac:dyDescent="0.2"/>
    <row r="699" s="110" customFormat="1" x14ac:dyDescent="0.2"/>
    <row r="700" s="110" customFormat="1" x14ac:dyDescent="0.2"/>
    <row r="701" s="110" customFormat="1" x14ac:dyDescent="0.2"/>
    <row r="702" s="110" customFormat="1" x14ac:dyDescent="0.2"/>
    <row r="703" s="110" customFormat="1" x14ac:dyDescent="0.2"/>
    <row r="704" s="110" customFormat="1" x14ac:dyDescent="0.2"/>
    <row r="705" s="110" customFormat="1" x14ac:dyDescent="0.2"/>
    <row r="706" s="110" customFormat="1" x14ac:dyDescent="0.2"/>
    <row r="707" s="110" customFormat="1" x14ac:dyDescent="0.2"/>
    <row r="708" s="110" customFormat="1" x14ac:dyDescent="0.2"/>
    <row r="709" s="110" customFormat="1" x14ac:dyDescent="0.2"/>
    <row r="710" s="110" customFormat="1" x14ac:dyDescent="0.2"/>
    <row r="711" s="110" customFormat="1" x14ac:dyDescent="0.2"/>
    <row r="712" s="110" customFormat="1" x14ac:dyDescent="0.2"/>
    <row r="713" s="110" customFormat="1" x14ac:dyDescent="0.2"/>
    <row r="714" s="110" customFormat="1" x14ac:dyDescent="0.2"/>
    <row r="715" s="110" customFormat="1" x14ac:dyDescent="0.2"/>
    <row r="716" s="110" customFormat="1" x14ac:dyDescent="0.2"/>
    <row r="717" s="110" customFormat="1" x14ac:dyDescent="0.2"/>
    <row r="718" s="110" customFormat="1" x14ac:dyDescent="0.2"/>
    <row r="719" s="110" customFormat="1" x14ac:dyDescent="0.2"/>
    <row r="720" s="110" customFormat="1" x14ac:dyDescent="0.2"/>
    <row r="721" s="110" customFormat="1" x14ac:dyDescent="0.2"/>
    <row r="722" s="110" customFormat="1" x14ac:dyDescent="0.2"/>
    <row r="723" s="110" customFormat="1" x14ac:dyDescent="0.2"/>
    <row r="724" s="110" customFormat="1" x14ac:dyDescent="0.2"/>
    <row r="725" s="110" customFormat="1" x14ac:dyDescent="0.2"/>
    <row r="726" s="110" customFormat="1" x14ac:dyDescent="0.2"/>
    <row r="727" s="110" customFormat="1" x14ac:dyDescent="0.2"/>
    <row r="728" s="110" customFormat="1" x14ac:dyDescent="0.2"/>
    <row r="729" s="110" customFormat="1" x14ac:dyDescent="0.2"/>
    <row r="730" s="110" customFormat="1" x14ac:dyDescent="0.2"/>
    <row r="731" s="110" customFormat="1" x14ac:dyDescent="0.2"/>
    <row r="732" s="110" customFormat="1" x14ac:dyDescent="0.2"/>
    <row r="733" s="110" customFormat="1" x14ac:dyDescent="0.2"/>
    <row r="734" s="110" customFormat="1" x14ac:dyDescent="0.2"/>
    <row r="735" s="110" customFormat="1" x14ac:dyDescent="0.2"/>
    <row r="736" s="110" customFormat="1" x14ac:dyDescent="0.2"/>
    <row r="737" s="110" customFormat="1" x14ac:dyDescent="0.2"/>
    <row r="738" s="110" customFormat="1" x14ac:dyDescent="0.2"/>
    <row r="739" s="110" customFormat="1" x14ac:dyDescent="0.2"/>
    <row r="740" s="110" customFormat="1" x14ac:dyDescent="0.2"/>
    <row r="741" s="110" customFormat="1" x14ac:dyDescent="0.2"/>
    <row r="742" s="110" customFormat="1" x14ac:dyDescent="0.2"/>
    <row r="743" s="110" customFormat="1" x14ac:dyDescent="0.2"/>
    <row r="744" s="110" customFormat="1" x14ac:dyDescent="0.2"/>
    <row r="745" s="110" customFormat="1" x14ac:dyDescent="0.2"/>
    <row r="746" s="110" customFormat="1" x14ac:dyDescent="0.2"/>
    <row r="747" s="110" customFormat="1" x14ac:dyDescent="0.2"/>
    <row r="748" s="110" customFormat="1" x14ac:dyDescent="0.2"/>
    <row r="749" s="110" customFormat="1" x14ac:dyDescent="0.2"/>
    <row r="750" s="110" customFormat="1" x14ac:dyDescent="0.2"/>
    <row r="751" s="110" customFormat="1" x14ac:dyDescent="0.2"/>
    <row r="752" s="110" customFormat="1" x14ac:dyDescent="0.2"/>
    <row r="753" s="110" customFormat="1" x14ac:dyDescent="0.2"/>
    <row r="754" s="110" customFormat="1" x14ac:dyDescent="0.2"/>
    <row r="755" s="110" customFormat="1" x14ac:dyDescent="0.2"/>
    <row r="756" s="110" customFormat="1" x14ac:dyDescent="0.2"/>
    <row r="757" s="110" customFormat="1" x14ac:dyDescent="0.2"/>
    <row r="758" s="110" customFormat="1" x14ac:dyDescent="0.2"/>
    <row r="759" s="110" customFormat="1" x14ac:dyDescent="0.2"/>
    <row r="760" s="110" customFormat="1" x14ac:dyDescent="0.2"/>
    <row r="761" s="110" customFormat="1" x14ac:dyDescent="0.2"/>
    <row r="762" s="110" customFormat="1" x14ac:dyDescent="0.2"/>
    <row r="763" s="110" customFormat="1" x14ac:dyDescent="0.2"/>
    <row r="764" s="110" customFormat="1" x14ac:dyDescent="0.2"/>
    <row r="765" s="110" customFormat="1" x14ac:dyDescent="0.2"/>
    <row r="766" s="110" customFormat="1" x14ac:dyDescent="0.2"/>
    <row r="767" s="110" customFormat="1" x14ac:dyDescent="0.2"/>
    <row r="768" s="110" customFormat="1" x14ac:dyDescent="0.2"/>
    <row r="769" s="110" customFormat="1" x14ac:dyDescent="0.2"/>
    <row r="770" s="110" customFormat="1" x14ac:dyDescent="0.2"/>
    <row r="771" s="110" customFormat="1" x14ac:dyDescent="0.2"/>
    <row r="772" s="110" customFormat="1" x14ac:dyDescent="0.2"/>
    <row r="773" s="110" customFormat="1" x14ac:dyDescent="0.2"/>
    <row r="774" s="110" customFormat="1" x14ac:dyDescent="0.2"/>
    <row r="775" s="110" customFormat="1" x14ac:dyDescent="0.2"/>
    <row r="776" s="110" customFormat="1" x14ac:dyDescent="0.2"/>
    <row r="777" s="110" customFormat="1" x14ac:dyDescent="0.2"/>
    <row r="778" s="110" customFormat="1" x14ac:dyDescent="0.2"/>
    <row r="779" s="110" customFormat="1" x14ac:dyDescent="0.2"/>
    <row r="780" s="110" customFormat="1" x14ac:dyDescent="0.2"/>
    <row r="781" s="110" customFormat="1" x14ac:dyDescent="0.2"/>
    <row r="782" s="110" customFormat="1" x14ac:dyDescent="0.2"/>
    <row r="783" s="110" customFormat="1" x14ac:dyDescent="0.2"/>
    <row r="784" s="110" customFormat="1" x14ac:dyDescent="0.2"/>
    <row r="785" s="110" customFormat="1" x14ac:dyDescent="0.2"/>
    <row r="786" s="110" customFormat="1" x14ac:dyDescent="0.2"/>
    <row r="787" s="110" customFormat="1" x14ac:dyDescent="0.2"/>
    <row r="788" s="110" customFormat="1" x14ac:dyDescent="0.2"/>
    <row r="789" s="110" customFormat="1" x14ac:dyDescent="0.2"/>
    <row r="790" s="110" customFormat="1" x14ac:dyDescent="0.2"/>
    <row r="791" s="110" customFormat="1" x14ac:dyDescent="0.2"/>
    <row r="792" s="110" customFormat="1" x14ac:dyDescent="0.2"/>
    <row r="793" s="110" customFormat="1" x14ac:dyDescent="0.2"/>
    <row r="794" s="110" customFormat="1" x14ac:dyDescent="0.2"/>
    <row r="795" s="110" customFormat="1" x14ac:dyDescent="0.2"/>
    <row r="796" s="110" customFormat="1" x14ac:dyDescent="0.2"/>
    <row r="797" s="110" customFormat="1" x14ac:dyDescent="0.2"/>
    <row r="798" s="110" customFormat="1" x14ac:dyDescent="0.2"/>
    <row r="799" s="110" customFormat="1" x14ac:dyDescent="0.2"/>
    <row r="800" s="110" customFormat="1" x14ac:dyDescent="0.2"/>
    <row r="801" s="110" customFormat="1" x14ac:dyDescent="0.2"/>
    <row r="802" s="110" customFormat="1" x14ac:dyDescent="0.2"/>
    <row r="803" s="110" customFormat="1" x14ac:dyDescent="0.2"/>
    <row r="804" s="110" customFormat="1" x14ac:dyDescent="0.2"/>
    <row r="805" s="110" customFormat="1" x14ac:dyDescent="0.2"/>
    <row r="806" s="110" customFormat="1" x14ac:dyDescent="0.2"/>
    <row r="807" s="110" customFormat="1" x14ac:dyDescent="0.2"/>
    <row r="808" s="110" customFormat="1" x14ac:dyDescent="0.2"/>
    <row r="809" s="110" customFormat="1" x14ac:dyDescent="0.2"/>
    <row r="810" s="110" customFormat="1" x14ac:dyDescent="0.2"/>
    <row r="811" s="110" customFormat="1" x14ac:dyDescent="0.2"/>
    <row r="812" s="110" customFormat="1" x14ac:dyDescent="0.2"/>
    <row r="813" s="110" customFormat="1" x14ac:dyDescent="0.2"/>
    <row r="814" s="110" customFormat="1" x14ac:dyDescent="0.2"/>
    <row r="815" s="110" customFormat="1" x14ac:dyDescent="0.2"/>
    <row r="816" s="110" customFormat="1" x14ac:dyDescent="0.2"/>
    <row r="817" s="110" customFormat="1" x14ac:dyDescent="0.2"/>
    <row r="818" s="110" customFormat="1" x14ac:dyDescent="0.2"/>
    <row r="819" s="110" customFormat="1" x14ac:dyDescent="0.2"/>
    <row r="820" s="110" customFormat="1" x14ac:dyDescent="0.2"/>
    <row r="821" s="110" customFormat="1" x14ac:dyDescent="0.2"/>
    <row r="822" s="110" customFormat="1" x14ac:dyDescent="0.2"/>
    <row r="823" s="110" customFormat="1" x14ac:dyDescent="0.2"/>
    <row r="824" s="110" customFormat="1" x14ac:dyDescent="0.2"/>
    <row r="825" s="110" customFormat="1" x14ac:dyDescent="0.2"/>
    <row r="826" s="110" customFormat="1" x14ac:dyDescent="0.2"/>
    <row r="827" s="110" customFormat="1" x14ac:dyDescent="0.2"/>
    <row r="828" s="110" customFormat="1" x14ac:dyDescent="0.2"/>
    <row r="829" s="110" customFormat="1" x14ac:dyDescent="0.2"/>
    <row r="830" s="110" customFormat="1" x14ac:dyDescent="0.2"/>
    <row r="831" s="110" customFormat="1" x14ac:dyDescent="0.2"/>
    <row r="832" s="110" customFormat="1" x14ac:dyDescent="0.2"/>
    <row r="833" s="110" customFormat="1" x14ac:dyDescent="0.2"/>
    <row r="834" s="110" customFormat="1" x14ac:dyDescent="0.2"/>
    <row r="835" s="110" customFormat="1" x14ac:dyDescent="0.2"/>
    <row r="836" s="110" customFormat="1" x14ac:dyDescent="0.2"/>
    <row r="837" s="110" customFormat="1" x14ac:dyDescent="0.2"/>
    <row r="838" s="110" customFormat="1" x14ac:dyDescent="0.2"/>
    <row r="839" s="110" customFormat="1" x14ac:dyDescent="0.2"/>
    <row r="840" s="110" customFormat="1" x14ac:dyDescent="0.2"/>
    <row r="841" s="110" customFormat="1" x14ac:dyDescent="0.2"/>
    <row r="842" s="110" customFormat="1" x14ac:dyDescent="0.2"/>
    <row r="843" s="110" customFormat="1" x14ac:dyDescent="0.2"/>
    <row r="844" s="110" customFormat="1" x14ac:dyDescent="0.2"/>
    <row r="845" s="110" customFormat="1" x14ac:dyDescent="0.2"/>
    <row r="846" s="110" customFormat="1" x14ac:dyDescent="0.2"/>
    <row r="847" s="110" customFormat="1" x14ac:dyDescent="0.2"/>
    <row r="848" s="110" customFormat="1" x14ac:dyDescent="0.2"/>
    <row r="849" s="110" customFormat="1" x14ac:dyDescent="0.2"/>
    <row r="850" s="110" customFormat="1" x14ac:dyDescent="0.2"/>
    <row r="851" s="110" customFormat="1" x14ac:dyDescent="0.2"/>
    <row r="852" s="110" customFormat="1" x14ac:dyDescent="0.2"/>
    <row r="853" s="110" customFormat="1" x14ac:dyDescent="0.2"/>
    <row r="854" s="110" customFormat="1" x14ac:dyDescent="0.2"/>
    <row r="855" s="110" customFormat="1" x14ac:dyDescent="0.2"/>
    <row r="856" s="110" customFormat="1" x14ac:dyDescent="0.2"/>
    <row r="857" s="110" customFormat="1" x14ac:dyDescent="0.2"/>
    <row r="858" s="110" customFormat="1" x14ac:dyDescent="0.2"/>
    <row r="859" s="110" customFormat="1" x14ac:dyDescent="0.2"/>
    <row r="860" s="110" customFormat="1" x14ac:dyDescent="0.2"/>
    <row r="861" s="110" customFormat="1" x14ac:dyDescent="0.2"/>
    <row r="862" s="110" customFormat="1" x14ac:dyDescent="0.2"/>
    <row r="863" s="110" customFormat="1" x14ac:dyDescent="0.2"/>
    <row r="864" s="110" customFormat="1" x14ac:dyDescent="0.2"/>
    <row r="865" s="110" customFormat="1" x14ac:dyDescent="0.2"/>
    <row r="866" s="110" customFormat="1" x14ac:dyDescent="0.2"/>
    <row r="867" s="110" customFormat="1" x14ac:dyDescent="0.2"/>
    <row r="868" s="110" customFormat="1" x14ac:dyDescent="0.2"/>
    <row r="869" s="110" customFormat="1" x14ac:dyDescent="0.2"/>
    <row r="870" s="110" customFormat="1" x14ac:dyDescent="0.2"/>
    <row r="871" s="110" customFormat="1" x14ac:dyDescent="0.2"/>
    <row r="872" s="110" customFormat="1" x14ac:dyDescent="0.2"/>
    <row r="873" s="110" customFormat="1" x14ac:dyDescent="0.2"/>
    <row r="874" s="110" customFormat="1" x14ac:dyDescent="0.2"/>
    <row r="875" s="110" customFormat="1" x14ac:dyDescent="0.2"/>
    <row r="876" s="110" customFormat="1" x14ac:dyDescent="0.2"/>
    <row r="877" s="110" customFormat="1" x14ac:dyDescent="0.2"/>
    <row r="878" s="110" customFormat="1" x14ac:dyDescent="0.2"/>
    <row r="879" s="110" customFormat="1" x14ac:dyDescent="0.2"/>
    <row r="880" s="110" customFormat="1" x14ac:dyDescent="0.2"/>
    <row r="881" s="110" customFormat="1" x14ac:dyDescent="0.2"/>
    <row r="882" s="110" customFormat="1" x14ac:dyDescent="0.2"/>
    <row r="883" s="110" customFormat="1" x14ac:dyDescent="0.2"/>
    <row r="884" s="110" customFormat="1" x14ac:dyDescent="0.2"/>
    <row r="885" s="110" customFormat="1" x14ac:dyDescent="0.2"/>
    <row r="886" s="110" customFormat="1" x14ac:dyDescent="0.2"/>
    <row r="887" s="110" customFormat="1" x14ac:dyDescent="0.2"/>
    <row r="888" s="110" customFormat="1" x14ac:dyDescent="0.2"/>
    <row r="889" s="110" customFormat="1" x14ac:dyDescent="0.2"/>
    <row r="890" s="110" customFormat="1" x14ac:dyDescent="0.2"/>
    <row r="891" s="110" customFormat="1" x14ac:dyDescent="0.2"/>
    <row r="892" s="110" customFormat="1" x14ac:dyDescent="0.2"/>
    <row r="893" s="110" customFormat="1" x14ac:dyDescent="0.2"/>
    <row r="894" s="110" customFormat="1" x14ac:dyDescent="0.2"/>
    <row r="895" s="110" customFormat="1" x14ac:dyDescent="0.2"/>
    <row r="896" s="110" customFormat="1" x14ac:dyDescent="0.2"/>
    <row r="897" s="110" customFormat="1" x14ac:dyDescent="0.2"/>
    <row r="898" s="110" customFormat="1" x14ac:dyDescent="0.2"/>
    <row r="899" s="110" customFormat="1" x14ac:dyDescent="0.2"/>
    <row r="900" s="110" customFormat="1" x14ac:dyDescent="0.2"/>
    <row r="901" s="110" customFormat="1" x14ac:dyDescent="0.2"/>
    <row r="902" s="110" customFormat="1" x14ac:dyDescent="0.2"/>
    <row r="903" s="110" customFormat="1" x14ac:dyDescent="0.2"/>
    <row r="904" s="110" customFormat="1" x14ac:dyDescent="0.2"/>
    <row r="905" s="110" customFormat="1" x14ac:dyDescent="0.2"/>
    <row r="906" s="110" customFormat="1" x14ac:dyDescent="0.2"/>
    <row r="907" s="110" customFormat="1" x14ac:dyDescent="0.2"/>
    <row r="908" s="110" customFormat="1" x14ac:dyDescent="0.2"/>
    <row r="909" s="110" customFormat="1" x14ac:dyDescent="0.2"/>
    <row r="910" s="110" customFormat="1" x14ac:dyDescent="0.2"/>
    <row r="911" s="110" customFormat="1" x14ac:dyDescent="0.2"/>
    <row r="912" s="110" customFormat="1" x14ac:dyDescent="0.2"/>
    <row r="913" s="110" customFormat="1" x14ac:dyDescent="0.2"/>
    <row r="914" s="110" customFormat="1" x14ac:dyDescent="0.2"/>
    <row r="915" s="110" customFormat="1" x14ac:dyDescent="0.2"/>
    <row r="916" s="110" customFormat="1" x14ac:dyDescent="0.2"/>
    <row r="917" s="110" customFormat="1" x14ac:dyDescent="0.2"/>
    <row r="918" s="110" customFormat="1" x14ac:dyDescent="0.2"/>
    <row r="919" s="110" customFormat="1" x14ac:dyDescent="0.2"/>
    <row r="920" s="110" customFormat="1" x14ac:dyDescent="0.2"/>
    <row r="921" s="110" customFormat="1" x14ac:dyDescent="0.2"/>
    <row r="922" s="110" customFormat="1" x14ac:dyDescent="0.2"/>
    <row r="923" s="110" customFormat="1" x14ac:dyDescent="0.2"/>
    <row r="924" s="110" customFormat="1" x14ac:dyDescent="0.2"/>
    <row r="925" s="110" customFormat="1" x14ac:dyDescent="0.2"/>
    <row r="926" s="110" customFormat="1" x14ac:dyDescent="0.2"/>
    <row r="927" s="110" customFormat="1" x14ac:dyDescent="0.2"/>
    <row r="928" s="110" customFormat="1" x14ac:dyDescent="0.2"/>
    <row r="929" s="110" customFormat="1" x14ac:dyDescent="0.2"/>
    <row r="930" s="110" customFormat="1" x14ac:dyDescent="0.2"/>
    <row r="931" s="110" customFormat="1" x14ac:dyDescent="0.2"/>
    <row r="932" s="110" customFormat="1" x14ac:dyDescent="0.2"/>
    <row r="933" s="110" customFormat="1" x14ac:dyDescent="0.2"/>
    <row r="934" s="110" customFormat="1" x14ac:dyDescent="0.2"/>
    <row r="935" s="110" customFormat="1" x14ac:dyDescent="0.2"/>
    <row r="936" s="110" customFormat="1" x14ac:dyDescent="0.2"/>
    <row r="937" s="110" customFormat="1" x14ac:dyDescent="0.2"/>
    <row r="938" s="110" customFormat="1" x14ac:dyDescent="0.2"/>
    <row r="939" s="110" customFormat="1" x14ac:dyDescent="0.2"/>
    <row r="940" s="110" customFormat="1" x14ac:dyDescent="0.2"/>
    <row r="941" s="110" customFormat="1" x14ac:dyDescent="0.2"/>
    <row r="942" s="110" customFormat="1" x14ac:dyDescent="0.2"/>
    <row r="943" s="110" customFormat="1" x14ac:dyDescent="0.2"/>
    <row r="944" s="110" customFormat="1" x14ac:dyDescent="0.2"/>
    <row r="945" s="110" customFormat="1" x14ac:dyDescent="0.2"/>
    <row r="946" s="110" customFormat="1" x14ac:dyDescent="0.2"/>
    <row r="947" s="110" customFormat="1" x14ac:dyDescent="0.2"/>
    <row r="948" s="110" customFormat="1" x14ac:dyDescent="0.2"/>
    <row r="949" s="110" customFormat="1" x14ac:dyDescent="0.2"/>
    <row r="950" s="110" customFormat="1" x14ac:dyDescent="0.2"/>
    <row r="951" s="110" customFormat="1" x14ac:dyDescent="0.2"/>
    <row r="952" s="110" customFormat="1" x14ac:dyDescent="0.2"/>
    <row r="953" s="110" customFormat="1" x14ac:dyDescent="0.2"/>
    <row r="954" s="110" customFormat="1" x14ac:dyDescent="0.2"/>
    <row r="955" s="110" customFormat="1" x14ac:dyDescent="0.2"/>
    <row r="956" s="110" customFormat="1" x14ac:dyDescent="0.2"/>
    <row r="957" s="110" customFormat="1" x14ac:dyDescent="0.2"/>
    <row r="958" s="110" customFormat="1" x14ac:dyDescent="0.2"/>
    <row r="959" s="110" customFormat="1" x14ac:dyDescent="0.2"/>
    <row r="960" s="110" customFormat="1" x14ac:dyDescent="0.2"/>
    <row r="961" s="110" customFormat="1" x14ac:dyDescent="0.2"/>
    <row r="962" s="110" customFormat="1" x14ac:dyDescent="0.2"/>
    <row r="963" s="110" customFormat="1" x14ac:dyDescent="0.2"/>
    <row r="964" s="110" customFormat="1" x14ac:dyDescent="0.2"/>
    <row r="965" s="110" customFormat="1" x14ac:dyDescent="0.2"/>
    <row r="966" s="110" customFormat="1" x14ac:dyDescent="0.2"/>
    <row r="967" s="110" customFormat="1" x14ac:dyDescent="0.2"/>
    <row r="968" s="110" customFormat="1" x14ac:dyDescent="0.2"/>
    <row r="969" s="110" customFormat="1" x14ac:dyDescent="0.2"/>
    <row r="970" s="110" customFormat="1" x14ac:dyDescent="0.2"/>
    <row r="971" s="110" customFormat="1" x14ac:dyDescent="0.2"/>
    <row r="972" s="110" customFormat="1" x14ac:dyDescent="0.2"/>
    <row r="973" s="110" customFormat="1" x14ac:dyDescent="0.2"/>
    <row r="974" s="110" customFormat="1" x14ac:dyDescent="0.2"/>
    <row r="975" s="110" customFormat="1" x14ac:dyDescent="0.2"/>
    <row r="976" s="110" customFormat="1" x14ac:dyDescent="0.2"/>
    <row r="977" s="110" customFormat="1" x14ac:dyDescent="0.2"/>
    <row r="978" s="110" customFormat="1" x14ac:dyDescent="0.2"/>
    <row r="979" s="110" customFormat="1" x14ac:dyDescent="0.2"/>
    <row r="980" s="110" customFormat="1" x14ac:dyDescent="0.2"/>
    <row r="981" s="110" customFormat="1" x14ac:dyDescent="0.2"/>
    <row r="982" s="110" customFormat="1" x14ac:dyDescent="0.2"/>
    <row r="983" s="110" customFormat="1" x14ac:dyDescent="0.2"/>
    <row r="984" s="110" customFormat="1" x14ac:dyDescent="0.2"/>
    <row r="985" s="110" customFormat="1" x14ac:dyDescent="0.2"/>
    <row r="986" s="110" customFormat="1" x14ac:dyDescent="0.2"/>
    <row r="987" s="110" customFormat="1" x14ac:dyDescent="0.2"/>
    <row r="988" s="110" customFormat="1" x14ac:dyDescent="0.2"/>
    <row r="989" s="110" customFormat="1" x14ac:dyDescent="0.2"/>
    <row r="990" s="110" customFormat="1" x14ac:dyDescent="0.2"/>
    <row r="991" s="110" customFormat="1" x14ac:dyDescent="0.2"/>
    <row r="992" s="110" customFormat="1" x14ac:dyDescent="0.2"/>
    <row r="993" s="110" customFormat="1" x14ac:dyDescent="0.2"/>
    <row r="994" s="110" customFormat="1" x14ac:dyDescent="0.2"/>
    <row r="995" s="110" customFormat="1" x14ac:dyDescent="0.2"/>
    <row r="996" s="110" customFormat="1" x14ac:dyDescent="0.2"/>
    <row r="997" s="110" customFormat="1" x14ac:dyDescent="0.2"/>
    <row r="998" s="110" customFormat="1" x14ac:dyDescent="0.2"/>
    <row r="999" s="110" customFormat="1" x14ac:dyDescent="0.2"/>
    <row r="1000" s="110" customFormat="1" x14ac:dyDescent="0.2"/>
    <row r="1001" s="110" customFormat="1" x14ac:dyDescent="0.2"/>
    <row r="1002" s="110" customFormat="1" x14ac:dyDescent="0.2"/>
    <row r="1003" s="110" customFormat="1" x14ac:dyDescent="0.2"/>
    <row r="1004" s="110" customFormat="1" x14ac:dyDescent="0.2"/>
    <row r="1005" s="110" customFormat="1" x14ac:dyDescent="0.2"/>
    <row r="1006" s="110" customFormat="1" x14ac:dyDescent="0.2"/>
    <row r="1007" s="110" customFormat="1" x14ac:dyDescent="0.2"/>
    <row r="1008" s="110" customFormat="1" x14ac:dyDescent="0.2"/>
    <row r="1009" s="110" customFormat="1" x14ac:dyDescent="0.2"/>
    <row r="1010" s="110" customFormat="1" x14ac:dyDescent="0.2"/>
    <row r="1011" s="110" customFormat="1" x14ac:dyDescent="0.2"/>
    <row r="1012" s="110" customFormat="1" x14ac:dyDescent="0.2"/>
    <row r="1013" s="110" customFormat="1" x14ac:dyDescent="0.2"/>
    <row r="1014" s="110" customFormat="1" x14ac:dyDescent="0.2"/>
    <row r="1015" s="110" customFormat="1" x14ac:dyDescent="0.2"/>
    <row r="1016" s="110" customFormat="1" x14ac:dyDescent="0.2"/>
    <row r="1017" s="110" customFormat="1" x14ac:dyDescent="0.2"/>
    <row r="1018" s="110" customFormat="1" x14ac:dyDescent="0.2"/>
    <row r="1019" s="110" customFormat="1" x14ac:dyDescent="0.2"/>
    <row r="1020" s="110" customFormat="1" x14ac:dyDescent="0.2"/>
    <row r="1021" s="110" customFormat="1" x14ac:dyDescent="0.2"/>
    <row r="1022" s="110" customFormat="1" x14ac:dyDescent="0.2"/>
    <row r="1023" s="110" customFormat="1" x14ac:dyDescent="0.2"/>
    <row r="1024" s="110" customFormat="1" x14ac:dyDescent="0.2"/>
    <row r="1025" s="110" customFormat="1" x14ac:dyDescent="0.2"/>
    <row r="1026" s="110" customFormat="1" x14ac:dyDescent="0.2"/>
    <row r="1027" s="110" customFormat="1" x14ac:dyDescent="0.2"/>
    <row r="1028" s="110" customFormat="1" x14ac:dyDescent="0.2"/>
    <row r="1029" s="110" customFormat="1" x14ac:dyDescent="0.2"/>
    <row r="1030" s="110" customFormat="1" x14ac:dyDescent="0.2"/>
    <row r="1031" s="110" customFormat="1" x14ac:dyDescent="0.2"/>
    <row r="1032" s="110" customFormat="1" x14ac:dyDescent="0.2"/>
    <row r="1033" s="110" customFormat="1" x14ac:dyDescent="0.2"/>
    <row r="1034" s="110" customFormat="1" x14ac:dyDescent="0.2"/>
    <row r="1035" s="110" customFormat="1" x14ac:dyDescent="0.2"/>
    <row r="1036" s="110" customFormat="1" x14ac:dyDescent="0.2"/>
    <row r="1037" s="110" customFormat="1" x14ac:dyDescent="0.2"/>
    <row r="1038" s="110" customFormat="1" x14ac:dyDescent="0.2"/>
    <row r="1039" s="110" customFormat="1" x14ac:dyDescent="0.2"/>
    <row r="1040" s="110" customFormat="1" x14ac:dyDescent="0.2"/>
    <row r="1041" s="110" customFormat="1" x14ac:dyDescent="0.2"/>
    <row r="1042" s="110" customFormat="1" x14ac:dyDescent="0.2"/>
    <row r="1043" s="110" customFormat="1" x14ac:dyDescent="0.2"/>
    <row r="1044" s="110" customFormat="1" x14ac:dyDescent="0.2"/>
    <row r="1045" s="110" customFormat="1" x14ac:dyDescent="0.2"/>
    <row r="1046" s="110" customFormat="1" x14ac:dyDescent="0.2"/>
    <row r="1047" s="110" customFormat="1" x14ac:dyDescent="0.2"/>
    <row r="1048" s="110" customFormat="1" x14ac:dyDescent="0.2"/>
    <row r="1049" s="110" customFormat="1" x14ac:dyDescent="0.2"/>
    <row r="1050" s="110" customFormat="1" x14ac:dyDescent="0.2"/>
    <row r="1051" s="110" customFormat="1" x14ac:dyDescent="0.2"/>
    <row r="1052" s="110" customFormat="1" x14ac:dyDescent="0.2"/>
    <row r="1053" s="110" customFormat="1" x14ac:dyDescent="0.2"/>
    <row r="1054" s="110" customFormat="1" x14ac:dyDescent="0.2"/>
    <row r="1055" s="110" customFormat="1" x14ac:dyDescent="0.2"/>
    <row r="1056" s="110" customFormat="1" x14ac:dyDescent="0.2"/>
    <row r="1057" s="110" customFormat="1" x14ac:dyDescent="0.2"/>
    <row r="1058" s="110" customFormat="1" x14ac:dyDescent="0.2"/>
    <row r="1059" s="110" customFormat="1" x14ac:dyDescent="0.2"/>
    <row r="1060" s="110" customFormat="1" x14ac:dyDescent="0.2"/>
    <row r="1061" s="110" customFormat="1" x14ac:dyDescent="0.2"/>
    <row r="1062" s="110" customFormat="1" x14ac:dyDescent="0.2"/>
    <row r="1063" s="110" customFormat="1" x14ac:dyDescent="0.2"/>
    <row r="1064" s="110" customFormat="1" x14ac:dyDescent="0.2"/>
    <row r="1065" s="110" customFormat="1" x14ac:dyDescent="0.2"/>
    <row r="1066" s="110" customFormat="1" x14ac:dyDescent="0.2"/>
    <row r="1067" s="110" customFormat="1" x14ac:dyDescent="0.2"/>
    <row r="1068" s="110" customFormat="1" x14ac:dyDescent="0.2"/>
    <row r="1069" s="110" customFormat="1" x14ac:dyDescent="0.2"/>
    <row r="1070" s="110" customFormat="1" x14ac:dyDescent="0.2"/>
    <row r="1071" s="110" customFormat="1" x14ac:dyDescent="0.2"/>
    <row r="1072" s="110" customFormat="1" x14ac:dyDescent="0.2"/>
    <row r="1073" s="110" customFormat="1" x14ac:dyDescent="0.2"/>
    <row r="1074" s="110" customFormat="1" x14ac:dyDescent="0.2"/>
    <row r="1075" s="110" customFormat="1" x14ac:dyDescent="0.2"/>
    <row r="1076" s="110" customFormat="1" x14ac:dyDescent="0.2"/>
    <row r="1077" s="110" customFormat="1" x14ac:dyDescent="0.2"/>
    <row r="1078" s="110" customFormat="1" x14ac:dyDescent="0.2"/>
    <row r="1079" s="110" customFormat="1" x14ac:dyDescent="0.2"/>
    <row r="1080" s="110" customFormat="1" x14ac:dyDescent="0.2"/>
    <row r="1081" s="110" customFormat="1" x14ac:dyDescent="0.2"/>
    <row r="1082" s="110" customFormat="1" x14ac:dyDescent="0.2"/>
    <row r="1083" s="110" customFormat="1" x14ac:dyDescent="0.2"/>
    <row r="1084" s="110" customFormat="1" x14ac:dyDescent="0.2"/>
    <row r="1085" s="110" customFormat="1" x14ac:dyDescent="0.2"/>
    <row r="1086" s="110" customFormat="1" x14ac:dyDescent="0.2"/>
    <row r="1087" s="110" customFormat="1" x14ac:dyDescent="0.2"/>
    <row r="1088" s="110" customFormat="1" x14ac:dyDescent="0.2"/>
    <row r="1089" s="110" customFormat="1" x14ac:dyDescent="0.2"/>
    <row r="1090" s="110" customFormat="1" x14ac:dyDescent="0.2"/>
    <row r="1091" s="110" customFormat="1" x14ac:dyDescent="0.2"/>
    <row r="1092" s="110" customFormat="1" x14ac:dyDescent="0.2"/>
    <row r="1093" s="110" customFormat="1" x14ac:dyDescent="0.2"/>
    <row r="1094" s="110" customFormat="1" x14ac:dyDescent="0.2"/>
    <row r="1095" s="110" customFormat="1" x14ac:dyDescent="0.2"/>
    <row r="1096" s="110" customFormat="1" x14ac:dyDescent="0.2"/>
    <row r="1097" s="110" customFormat="1" x14ac:dyDescent="0.2"/>
    <row r="1098" s="110" customFormat="1" x14ac:dyDescent="0.2"/>
    <row r="1099" s="110" customFormat="1" x14ac:dyDescent="0.2"/>
    <row r="1100" s="110" customFormat="1" x14ac:dyDescent="0.2"/>
    <row r="1101" s="110" customFormat="1" x14ac:dyDescent="0.2"/>
    <row r="1102" s="110" customFormat="1" x14ac:dyDescent="0.2"/>
    <row r="1103" s="110" customFormat="1" x14ac:dyDescent="0.2"/>
    <row r="1104" s="110" customFormat="1" x14ac:dyDescent="0.2"/>
    <row r="1105" s="110" customFormat="1" x14ac:dyDescent="0.2"/>
    <row r="1106" s="110" customFormat="1" x14ac:dyDescent="0.2"/>
    <row r="1107" s="110" customFormat="1" x14ac:dyDescent="0.2"/>
    <row r="1108" s="110" customFormat="1" x14ac:dyDescent="0.2"/>
    <row r="1109" s="110" customFormat="1" x14ac:dyDescent="0.2"/>
    <row r="1110" s="110" customFormat="1" x14ac:dyDescent="0.2"/>
    <row r="1111" s="110" customFormat="1" x14ac:dyDescent="0.2"/>
    <row r="1112" s="110" customFormat="1" x14ac:dyDescent="0.2"/>
    <row r="1113" s="110" customFormat="1" x14ac:dyDescent="0.2"/>
    <row r="1114" s="110" customFormat="1" x14ac:dyDescent="0.2"/>
    <row r="1115" s="110" customFormat="1" x14ac:dyDescent="0.2"/>
    <row r="1116" s="110" customFormat="1" x14ac:dyDescent="0.2"/>
    <row r="1117" s="110" customFormat="1" x14ac:dyDescent="0.2"/>
    <row r="1118" s="110" customFormat="1" x14ac:dyDescent="0.2"/>
    <row r="1119" s="110" customFormat="1" x14ac:dyDescent="0.2"/>
    <row r="1120" s="110" customFormat="1" x14ac:dyDescent="0.2"/>
    <row r="1121" s="110" customFormat="1" x14ac:dyDescent="0.2"/>
    <row r="1122" s="110" customFormat="1" x14ac:dyDescent="0.2"/>
    <row r="1123" s="110" customFormat="1" x14ac:dyDescent="0.2"/>
    <row r="1124" s="110" customFormat="1" x14ac:dyDescent="0.2"/>
    <row r="1125" s="110" customFormat="1" x14ac:dyDescent="0.2"/>
    <row r="1126" s="110" customFormat="1" x14ac:dyDescent="0.2"/>
    <row r="1127" s="110" customFormat="1" x14ac:dyDescent="0.2"/>
    <row r="1128" s="110" customFormat="1" x14ac:dyDescent="0.2"/>
    <row r="1129" s="110" customFormat="1" x14ac:dyDescent="0.2"/>
    <row r="1130" s="110" customFormat="1" x14ac:dyDescent="0.2"/>
    <row r="1131" s="110" customFormat="1" x14ac:dyDescent="0.2"/>
    <row r="1132" s="110" customFormat="1" x14ac:dyDescent="0.2"/>
    <row r="1133" s="110" customFormat="1" x14ac:dyDescent="0.2"/>
    <row r="1134" s="110" customFormat="1" x14ac:dyDescent="0.2"/>
    <row r="1135" s="110" customFormat="1" x14ac:dyDescent="0.2"/>
    <row r="1136" s="110" customFormat="1" x14ac:dyDescent="0.2"/>
    <row r="1137" s="110" customFormat="1" x14ac:dyDescent="0.2"/>
    <row r="1138" s="110" customFormat="1" x14ac:dyDescent="0.2"/>
    <row r="1139" s="110" customFormat="1" x14ac:dyDescent="0.2"/>
    <row r="1140" s="110" customFormat="1" x14ac:dyDescent="0.2"/>
    <row r="1141" s="110" customFormat="1" x14ac:dyDescent="0.2"/>
    <row r="1142" s="110" customFormat="1" x14ac:dyDescent="0.2"/>
    <row r="1143" s="110" customFormat="1" x14ac:dyDescent="0.2"/>
    <row r="1144" s="110" customFormat="1" x14ac:dyDescent="0.2"/>
    <row r="1145" s="110" customFormat="1" x14ac:dyDescent="0.2"/>
    <row r="1146" s="110" customFormat="1" x14ac:dyDescent="0.2"/>
    <row r="1147" s="110" customFormat="1" x14ac:dyDescent="0.2"/>
    <row r="1148" s="110" customFormat="1" x14ac:dyDescent="0.2"/>
    <row r="1149" s="110" customFormat="1" x14ac:dyDescent="0.2"/>
    <row r="1150" s="110" customFormat="1" x14ac:dyDescent="0.2"/>
    <row r="1151" s="110" customFormat="1" x14ac:dyDescent="0.2"/>
    <row r="1152" s="110" customFormat="1" x14ac:dyDescent="0.2"/>
    <row r="1153" s="110" customFormat="1" x14ac:dyDescent="0.2"/>
    <row r="1154" s="110" customFormat="1" x14ac:dyDescent="0.2"/>
    <row r="1155" s="110" customFormat="1" x14ac:dyDescent="0.2"/>
    <row r="1156" s="110" customFormat="1" x14ac:dyDescent="0.2"/>
    <row r="1157" s="110" customFormat="1" x14ac:dyDescent="0.2"/>
    <row r="1158" s="110" customFormat="1" x14ac:dyDescent="0.2"/>
    <row r="1159" s="110" customFormat="1" x14ac:dyDescent="0.2"/>
    <row r="1160" s="110" customFormat="1" x14ac:dyDescent="0.2"/>
    <row r="1161" s="110" customFormat="1" x14ac:dyDescent="0.2"/>
    <row r="1162" s="110" customFormat="1" x14ac:dyDescent="0.2"/>
    <row r="1163" s="110" customFormat="1" x14ac:dyDescent="0.2"/>
    <row r="1164" s="110" customFormat="1" x14ac:dyDescent="0.2"/>
    <row r="1165" s="110" customFormat="1" x14ac:dyDescent="0.2"/>
    <row r="1166" s="110" customFormat="1" x14ac:dyDescent="0.2"/>
    <row r="1167" s="110" customFormat="1" x14ac:dyDescent="0.2"/>
    <row r="1168" s="110" customFormat="1" x14ac:dyDescent="0.2"/>
    <row r="1169" s="110" customFormat="1" x14ac:dyDescent="0.2"/>
    <row r="1170" s="110" customFormat="1" x14ac:dyDescent="0.2"/>
    <row r="1171" s="110" customFormat="1" x14ac:dyDescent="0.2"/>
    <row r="1172" s="110" customFormat="1" x14ac:dyDescent="0.2"/>
    <row r="1173" s="110" customFormat="1" x14ac:dyDescent="0.2"/>
    <row r="1174" s="110" customFormat="1" x14ac:dyDescent="0.2"/>
    <row r="1175" s="110" customFormat="1" x14ac:dyDescent="0.2"/>
    <row r="1176" s="110" customFormat="1" x14ac:dyDescent="0.2"/>
    <row r="1177" s="110" customFormat="1" x14ac:dyDescent="0.2"/>
    <row r="1178" s="110" customFormat="1" x14ac:dyDescent="0.2"/>
    <row r="1179" s="110" customFormat="1" x14ac:dyDescent="0.2"/>
    <row r="1180" s="110" customFormat="1" x14ac:dyDescent="0.2"/>
    <row r="1181" s="110" customFormat="1" x14ac:dyDescent="0.2"/>
    <row r="1182" s="110" customFormat="1" x14ac:dyDescent="0.2"/>
    <row r="1183" s="110" customFormat="1" x14ac:dyDescent="0.2"/>
    <row r="1184" s="110" customFormat="1" x14ac:dyDescent="0.2"/>
    <row r="1185" s="110" customFormat="1" x14ac:dyDescent="0.2"/>
    <row r="1186" s="110" customFormat="1" x14ac:dyDescent="0.2"/>
    <row r="1187" s="110" customFormat="1" x14ac:dyDescent="0.2"/>
    <row r="1188" s="110" customFormat="1" x14ac:dyDescent="0.2"/>
    <row r="1189" s="110" customFormat="1" x14ac:dyDescent="0.2"/>
    <row r="1190" s="110" customFormat="1" x14ac:dyDescent="0.2"/>
    <row r="1191" s="110" customFormat="1" x14ac:dyDescent="0.2"/>
    <row r="1192" s="110" customFormat="1" x14ac:dyDescent="0.2"/>
    <row r="1193" s="110" customFormat="1" x14ac:dyDescent="0.2"/>
    <row r="1194" s="110" customFormat="1" x14ac:dyDescent="0.2"/>
    <row r="1195" s="110" customFormat="1" x14ac:dyDescent="0.2"/>
    <row r="1196" s="110" customFormat="1" x14ac:dyDescent="0.2"/>
    <row r="1197" s="110" customFormat="1" x14ac:dyDescent="0.2"/>
    <row r="1198" s="110" customFormat="1" x14ac:dyDescent="0.2"/>
    <row r="1199" s="110" customFormat="1" x14ac:dyDescent="0.2"/>
    <row r="1200" s="110" customFormat="1" x14ac:dyDescent="0.2"/>
    <row r="1201" s="110" customFormat="1" x14ac:dyDescent="0.2"/>
    <row r="1202" s="110" customFormat="1" x14ac:dyDescent="0.2"/>
    <row r="1203" s="110" customFormat="1" x14ac:dyDescent="0.2"/>
    <row r="1204" s="110" customFormat="1" x14ac:dyDescent="0.2"/>
    <row r="1205" s="110" customFormat="1" x14ac:dyDescent="0.2"/>
    <row r="1206" s="110" customFormat="1" x14ac:dyDescent="0.2"/>
    <row r="1207" s="110" customFormat="1" x14ac:dyDescent="0.2"/>
    <row r="1208" s="110" customFormat="1" x14ac:dyDescent="0.2"/>
    <row r="1209" s="110" customFormat="1" x14ac:dyDescent="0.2"/>
    <row r="1210" s="110" customFormat="1" x14ac:dyDescent="0.2"/>
    <row r="1211" s="110" customFormat="1" x14ac:dyDescent="0.2"/>
    <row r="1212" s="110" customFormat="1" x14ac:dyDescent="0.2"/>
    <row r="1213" s="110" customFormat="1" x14ac:dyDescent="0.2"/>
    <row r="1214" s="110" customFormat="1" x14ac:dyDescent="0.2"/>
    <row r="1215" s="110" customFormat="1" x14ac:dyDescent="0.2"/>
    <row r="1216" s="110" customFormat="1" x14ac:dyDescent="0.2"/>
    <row r="1217" s="110" customFormat="1" x14ac:dyDescent="0.2"/>
    <row r="1218" s="110" customFormat="1" x14ac:dyDescent="0.2"/>
    <row r="1219" s="110" customFormat="1" x14ac:dyDescent="0.2"/>
    <row r="1220" s="110" customFormat="1" x14ac:dyDescent="0.2"/>
    <row r="1221" s="110" customFormat="1" x14ac:dyDescent="0.2"/>
    <row r="1222" s="110" customFormat="1" x14ac:dyDescent="0.2"/>
    <row r="1223" s="110" customFormat="1" x14ac:dyDescent="0.2"/>
    <row r="1224" s="110" customFormat="1" x14ac:dyDescent="0.2"/>
    <row r="1225" s="110" customFormat="1" x14ac:dyDescent="0.2"/>
    <row r="1226" s="110" customFormat="1" x14ac:dyDescent="0.2"/>
    <row r="1227" s="110" customFormat="1" x14ac:dyDescent="0.2"/>
    <row r="1228" s="110" customFormat="1" x14ac:dyDescent="0.2"/>
    <row r="1229" s="110" customFormat="1" x14ac:dyDescent="0.2"/>
    <row r="1230" s="110" customFormat="1" x14ac:dyDescent="0.2"/>
    <row r="1231" s="110" customFormat="1" x14ac:dyDescent="0.2"/>
    <row r="1232" s="110" customFormat="1" x14ac:dyDescent="0.2"/>
    <row r="1233" s="110" customFormat="1" x14ac:dyDescent="0.2"/>
    <row r="1234" s="110" customFormat="1" x14ac:dyDescent="0.2"/>
    <row r="1235" s="110" customFormat="1" x14ac:dyDescent="0.2"/>
    <row r="1236" s="110" customFormat="1" x14ac:dyDescent="0.2"/>
    <row r="1237" s="110" customFormat="1" x14ac:dyDescent="0.2"/>
    <row r="1238" s="110" customFormat="1" x14ac:dyDescent="0.2"/>
    <row r="1239" s="110" customFormat="1" x14ac:dyDescent="0.2"/>
    <row r="1240" s="110" customFormat="1" x14ac:dyDescent="0.2"/>
    <row r="1241" s="110" customFormat="1" x14ac:dyDescent="0.2"/>
    <row r="1242" s="110" customFormat="1" x14ac:dyDescent="0.2"/>
    <row r="1243" s="110" customFormat="1" x14ac:dyDescent="0.2"/>
    <row r="1244" s="110" customFormat="1" x14ac:dyDescent="0.2"/>
    <row r="1245" s="110" customFormat="1" x14ac:dyDescent="0.2"/>
    <row r="1246" s="110" customFormat="1" x14ac:dyDescent="0.2"/>
    <row r="1247" s="110" customFormat="1" x14ac:dyDescent="0.2"/>
    <row r="1248" s="110" customFormat="1" x14ac:dyDescent="0.2"/>
    <row r="1249" s="110" customFormat="1" x14ac:dyDescent="0.2"/>
    <row r="1250" s="110" customFormat="1" x14ac:dyDescent="0.2"/>
    <row r="1251" s="110" customFormat="1" x14ac:dyDescent="0.2"/>
    <row r="1252" s="110" customFormat="1" x14ac:dyDescent="0.2"/>
    <row r="1253" s="110" customFormat="1" x14ac:dyDescent="0.2"/>
    <row r="1254" s="110" customFormat="1" x14ac:dyDescent="0.2"/>
    <row r="1255" s="110" customFormat="1" x14ac:dyDescent="0.2"/>
    <row r="1256" s="110" customFormat="1" x14ac:dyDescent="0.2"/>
    <row r="1257" s="110" customFormat="1" x14ac:dyDescent="0.2"/>
    <row r="1258" s="110" customFormat="1" x14ac:dyDescent="0.2"/>
    <row r="1259" s="110" customFormat="1" x14ac:dyDescent="0.2"/>
    <row r="1260" s="110" customFormat="1" x14ac:dyDescent="0.2"/>
    <row r="1261" s="110" customFormat="1" x14ac:dyDescent="0.2"/>
    <row r="1262" s="110" customFormat="1" x14ac:dyDescent="0.2"/>
    <row r="1263" s="110" customFormat="1" x14ac:dyDescent="0.2"/>
    <row r="1264" s="110" customFormat="1" x14ac:dyDescent="0.2"/>
    <row r="1265" s="110" customFormat="1" x14ac:dyDescent="0.2"/>
    <row r="1266" s="110" customFormat="1" x14ac:dyDescent="0.2"/>
    <row r="1267" s="110" customFormat="1" x14ac:dyDescent="0.2"/>
    <row r="1268" s="110" customFormat="1" x14ac:dyDescent="0.2"/>
    <row r="1269" s="110" customFormat="1" x14ac:dyDescent="0.2"/>
    <row r="1270" s="110" customFormat="1" x14ac:dyDescent="0.2"/>
    <row r="1271" s="110" customFormat="1" x14ac:dyDescent="0.2"/>
    <row r="1272" s="110" customFormat="1" x14ac:dyDescent="0.2"/>
    <row r="1273" s="110" customFormat="1" x14ac:dyDescent="0.2"/>
    <row r="1274" s="110" customFormat="1" x14ac:dyDescent="0.2"/>
    <row r="1275" s="110" customFormat="1" x14ac:dyDescent="0.2"/>
    <row r="1276" s="110" customFormat="1" x14ac:dyDescent="0.2"/>
    <row r="1277" s="110" customFormat="1" x14ac:dyDescent="0.2"/>
    <row r="1278" s="110" customFormat="1" x14ac:dyDescent="0.2"/>
    <row r="1279" s="110" customFormat="1" x14ac:dyDescent="0.2"/>
    <row r="1280" s="110" customFormat="1" x14ac:dyDescent="0.2"/>
    <row r="1281" s="110" customFormat="1" x14ac:dyDescent="0.2"/>
    <row r="1282" s="110" customFormat="1" x14ac:dyDescent="0.2"/>
    <row r="1283" s="110" customFormat="1" x14ac:dyDescent="0.2"/>
    <row r="1284" s="110" customFormat="1" x14ac:dyDescent="0.2"/>
    <row r="1285" s="110" customFormat="1" x14ac:dyDescent="0.2"/>
    <row r="1286" s="110" customFormat="1" x14ac:dyDescent="0.2"/>
    <row r="1287" s="110" customFormat="1" x14ac:dyDescent="0.2"/>
    <row r="1288" s="110" customFormat="1" x14ac:dyDescent="0.2"/>
    <row r="1289" s="110" customFormat="1" x14ac:dyDescent="0.2"/>
    <row r="1290" s="110" customFormat="1" x14ac:dyDescent="0.2"/>
    <row r="1291" s="110" customFormat="1" x14ac:dyDescent="0.2"/>
    <row r="1292" s="110" customFormat="1" x14ac:dyDescent="0.2"/>
    <row r="1293" s="110" customFormat="1" x14ac:dyDescent="0.2"/>
    <row r="1294" s="110" customFormat="1" x14ac:dyDescent="0.2"/>
    <row r="1295" s="110" customFormat="1" x14ac:dyDescent="0.2"/>
    <row r="1296" s="110" customFormat="1" x14ac:dyDescent="0.2"/>
    <row r="1297" s="110" customFormat="1" x14ac:dyDescent="0.2"/>
    <row r="1298" s="110" customFormat="1" x14ac:dyDescent="0.2"/>
    <row r="1299" s="110" customFormat="1" x14ac:dyDescent="0.2"/>
    <row r="1300" s="110" customFormat="1" x14ac:dyDescent="0.2"/>
    <row r="1301" s="110" customFormat="1" x14ac:dyDescent="0.2"/>
    <row r="1302" s="110" customFormat="1" x14ac:dyDescent="0.2"/>
    <row r="1303" s="110" customFormat="1" x14ac:dyDescent="0.2"/>
    <row r="1304" s="110" customFormat="1" x14ac:dyDescent="0.2"/>
    <row r="1305" s="110" customFormat="1" x14ac:dyDescent="0.2"/>
    <row r="1306" s="110" customFormat="1" x14ac:dyDescent="0.2"/>
    <row r="1307" s="110" customFormat="1" x14ac:dyDescent="0.2"/>
    <row r="1308" s="110" customFormat="1" x14ac:dyDescent="0.2"/>
    <row r="1309" s="110" customFormat="1" x14ac:dyDescent="0.2"/>
    <row r="1310" s="110" customFormat="1" x14ac:dyDescent="0.2"/>
    <row r="1311" s="110" customFormat="1" x14ac:dyDescent="0.2"/>
    <row r="1312" s="110" customFormat="1" x14ac:dyDescent="0.2"/>
    <row r="1313" s="110" customFormat="1" x14ac:dyDescent="0.2"/>
    <row r="1314" s="110" customFormat="1" x14ac:dyDescent="0.2"/>
    <row r="1315" s="110" customFormat="1" x14ac:dyDescent="0.2"/>
    <row r="1316" s="110" customFormat="1" x14ac:dyDescent="0.2"/>
    <row r="1317" s="110" customFormat="1" x14ac:dyDescent="0.2"/>
    <row r="1318" s="110" customFormat="1" x14ac:dyDescent="0.2"/>
    <row r="1319" s="110" customFormat="1" x14ac:dyDescent="0.2"/>
    <row r="1320" s="110" customFormat="1" x14ac:dyDescent="0.2"/>
    <row r="1321" s="110" customFormat="1" x14ac:dyDescent="0.2"/>
    <row r="1322" s="110" customFormat="1" x14ac:dyDescent="0.2"/>
    <row r="1323" s="110" customFormat="1" x14ac:dyDescent="0.2"/>
    <row r="1324" s="110" customFormat="1" x14ac:dyDescent="0.2"/>
    <row r="1325" s="110" customFormat="1" x14ac:dyDescent="0.2"/>
    <row r="1326" s="110" customFormat="1" x14ac:dyDescent="0.2"/>
    <row r="1327" s="110" customFormat="1" x14ac:dyDescent="0.2"/>
    <row r="1328" s="110" customFormat="1" x14ac:dyDescent="0.2"/>
    <row r="1329" s="110" customFormat="1" x14ac:dyDescent="0.2"/>
    <row r="1330" s="110" customFormat="1" x14ac:dyDescent="0.2"/>
    <row r="1331" s="110" customFormat="1" x14ac:dyDescent="0.2"/>
    <row r="1332" s="110" customFormat="1" x14ac:dyDescent="0.2"/>
    <row r="1333" s="110" customFormat="1" x14ac:dyDescent="0.2"/>
    <row r="1334" s="110" customFormat="1" x14ac:dyDescent="0.2"/>
    <row r="1335" s="110" customFormat="1" x14ac:dyDescent="0.2"/>
    <row r="1336" s="110" customFormat="1" x14ac:dyDescent="0.2"/>
    <row r="1337" s="110" customFormat="1" x14ac:dyDescent="0.2"/>
    <row r="1338" s="110" customFormat="1" x14ac:dyDescent="0.2"/>
    <row r="1339" s="110" customFormat="1" x14ac:dyDescent="0.2"/>
    <row r="1340" s="110" customFormat="1" x14ac:dyDescent="0.2"/>
    <row r="1341" s="110" customFormat="1" x14ac:dyDescent="0.2"/>
    <row r="1342" s="110" customFormat="1" x14ac:dyDescent="0.2"/>
    <row r="1343" s="110" customFormat="1" x14ac:dyDescent="0.2"/>
    <row r="1344" s="110" customFormat="1" x14ac:dyDescent="0.2"/>
    <row r="1345" s="110" customFormat="1" x14ac:dyDescent="0.2"/>
    <row r="1346" s="110" customFormat="1" x14ac:dyDescent="0.2"/>
    <row r="1347" s="110" customFormat="1" x14ac:dyDescent="0.2"/>
    <row r="1348" s="110" customFormat="1" x14ac:dyDescent="0.2"/>
    <row r="1349" s="110" customFormat="1" x14ac:dyDescent="0.2"/>
    <row r="1350" s="110" customFormat="1" x14ac:dyDescent="0.2"/>
    <row r="1351" s="110" customFormat="1" x14ac:dyDescent="0.2"/>
    <row r="1352" s="110" customFormat="1" x14ac:dyDescent="0.2"/>
    <row r="1353" s="110" customFormat="1" x14ac:dyDescent="0.2"/>
    <row r="1354" s="110" customFormat="1" x14ac:dyDescent="0.2"/>
    <row r="1355" s="110" customFormat="1" x14ac:dyDescent="0.2"/>
    <row r="1356" s="110" customFormat="1" x14ac:dyDescent="0.2"/>
    <row r="1357" s="110" customFormat="1" x14ac:dyDescent="0.2"/>
    <row r="1358" s="110" customFormat="1" x14ac:dyDescent="0.2"/>
    <row r="1359" s="110" customFormat="1" x14ac:dyDescent="0.2"/>
    <row r="1360" s="110" customFormat="1" x14ac:dyDescent="0.2"/>
    <row r="1361" s="110" customFormat="1" x14ac:dyDescent="0.2"/>
    <row r="1362" s="110" customFormat="1" x14ac:dyDescent="0.2"/>
    <row r="1363" s="110" customFormat="1" x14ac:dyDescent="0.2"/>
    <row r="1364" s="110" customFormat="1" x14ac:dyDescent="0.2"/>
    <row r="1365" s="110" customFormat="1" x14ac:dyDescent="0.2"/>
    <row r="1366" s="110" customFormat="1" x14ac:dyDescent="0.2"/>
    <row r="1367" s="110" customFormat="1" x14ac:dyDescent="0.2"/>
    <row r="1368" s="110" customFormat="1" x14ac:dyDescent="0.2"/>
    <row r="1369" s="110" customFormat="1" x14ac:dyDescent="0.2"/>
    <row r="1370" s="110" customFormat="1" x14ac:dyDescent="0.2"/>
    <row r="1371" s="110" customFormat="1" x14ac:dyDescent="0.2"/>
    <row r="1372" s="110" customFormat="1" x14ac:dyDescent="0.2"/>
    <row r="1373" s="110" customFormat="1" x14ac:dyDescent="0.2"/>
    <row r="1374" s="110" customFormat="1" x14ac:dyDescent="0.2"/>
    <row r="1375" s="110" customFormat="1" x14ac:dyDescent="0.2"/>
    <row r="1376" s="110" customFormat="1" x14ac:dyDescent="0.2"/>
    <row r="1377" s="110" customFormat="1" x14ac:dyDescent="0.2"/>
    <row r="1378" s="110" customFormat="1" x14ac:dyDescent="0.2"/>
    <row r="1379" s="110" customFormat="1" x14ac:dyDescent="0.2"/>
    <row r="1380" s="110" customFormat="1" x14ac:dyDescent="0.2"/>
    <row r="1381" s="110" customFormat="1" x14ac:dyDescent="0.2"/>
    <row r="1382" s="110" customFormat="1" x14ac:dyDescent="0.2"/>
    <row r="1383" s="110" customFormat="1" x14ac:dyDescent="0.2"/>
    <row r="1384" s="110" customFormat="1" x14ac:dyDescent="0.2"/>
    <row r="1385" s="110" customFormat="1" x14ac:dyDescent="0.2"/>
    <row r="1386" s="110" customFormat="1" x14ac:dyDescent="0.2"/>
    <row r="1387" s="110" customFormat="1" x14ac:dyDescent="0.2"/>
    <row r="1388" s="110" customFormat="1" x14ac:dyDescent="0.2"/>
    <row r="1389" s="110" customFormat="1" x14ac:dyDescent="0.2"/>
    <row r="1390" s="110" customFormat="1" x14ac:dyDescent="0.2"/>
    <row r="1391" s="110" customFormat="1" x14ac:dyDescent="0.2"/>
    <row r="1392" s="110" customFormat="1" x14ac:dyDescent="0.2"/>
    <row r="1393" s="110" customFormat="1" x14ac:dyDescent="0.2"/>
    <row r="1394" s="110" customFormat="1" x14ac:dyDescent="0.2"/>
    <row r="1395" s="110" customFormat="1" x14ac:dyDescent="0.2"/>
    <row r="1396" s="110" customFormat="1" x14ac:dyDescent="0.2"/>
    <row r="1397" s="110" customFormat="1" x14ac:dyDescent="0.2"/>
    <row r="1398" s="110" customFormat="1" x14ac:dyDescent="0.2"/>
    <row r="1399" s="110" customFormat="1" x14ac:dyDescent="0.2"/>
    <row r="1400" s="110" customFormat="1" x14ac:dyDescent="0.2"/>
    <row r="1401" s="110" customFormat="1" x14ac:dyDescent="0.2"/>
    <row r="1402" s="110" customFormat="1" x14ac:dyDescent="0.2"/>
    <row r="1403" s="110" customFormat="1" x14ac:dyDescent="0.2"/>
    <row r="1404" s="110" customFormat="1" x14ac:dyDescent="0.2"/>
    <row r="1405" s="110" customFormat="1" x14ac:dyDescent="0.2"/>
    <row r="1406" s="110" customFormat="1" x14ac:dyDescent="0.2"/>
    <row r="1407" s="110" customFormat="1" x14ac:dyDescent="0.2"/>
    <row r="1408" s="110" customFormat="1" x14ac:dyDescent="0.2"/>
    <row r="1409" s="110" customFormat="1" x14ac:dyDescent="0.2"/>
    <row r="1410" s="110" customFormat="1" x14ac:dyDescent="0.2"/>
    <row r="1411" s="110" customFormat="1" x14ac:dyDescent="0.2"/>
    <row r="1412" s="110" customFormat="1" x14ac:dyDescent="0.2"/>
    <row r="1413" s="110" customFormat="1" x14ac:dyDescent="0.2"/>
    <row r="1414" s="110" customFormat="1" x14ac:dyDescent="0.2"/>
    <row r="1415" s="110" customFormat="1" x14ac:dyDescent="0.2"/>
    <row r="1416" s="110" customFormat="1" x14ac:dyDescent="0.2"/>
    <row r="1417" s="110" customFormat="1" x14ac:dyDescent="0.2"/>
    <row r="1418" s="110" customFormat="1" x14ac:dyDescent="0.2"/>
    <row r="1419" s="110" customFormat="1" x14ac:dyDescent="0.2"/>
    <row r="1420" s="110" customFormat="1" x14ac:dyDescent="0.2"/>
    <row r="1421" s="110" customFormat="1" x14ac:dyDescent="0.2"/>
    <row r="1422" s="110" customFormat="1" x14ac:dyDescent="0.2"/>
    <row r="1423" s="110" customFormat="1" x14ac:dyDescent="0.2"/>
    <row r="1424" s="110" customFormat="1" x14ac:dyDescent="0.2"/>
    <row r="1425" s="110" customFormat="1" x14ac:dyDescent="0.2"/>
    <row r="1426" s="110" customFormat="1" x14ac:dyDescent="0.2"/>
    <row r="1427" s="110" customFormat="1" x14ac:dyDescent="0.2"/>
    <row r="1428" s="110" customFormat="1" x14ac:dyDescent="0.2"/>
    <row r="1429" s="110" customFormat="1" x14ac:dyDescent="0.2"/>
    <row r="1430" s="110" customFormat="1" x14ac:dyDescent="0.2"/>
    <row r="1431" s="110" customFormat="1" x14ac:dyDescent="0.2"/>
    <row r="1432" s="110" customFormat="1" x14ac:dyDescent="0.2"/>
    <row r="1433" s="110" customFormat="1" x14ac:dyDescent="0.2"/>
    <row r="1434" s="110" customFormat="1" x14ac:dyDescent="0.2"/>
    <row r="1435" s="110" customFormat="1" x14ac:dyDescent="0.2"/>
    <row r="1436" s="110" customFormat="1" x14ac:dyDescent="0.2"/>
    <row r="1437" s="110" customFormat="1" x14ac:dyDescent="0.2"/>
    <row r="1438" s="110" customFormat="1" x14ac:dyDescent="0.2"/>
    <row r="1439" s="110" customFormat="1" x14ac:dyDescent="0.2"/>
    <row r="1440" s="110" customFormat="1" x14ac:dyDescent="0.2"/>
    <row r="1441" s="110" customFormat="1" x14ac:dyDescent="0.2"/>
    <row r="1442" s="110" customFormat="1" x14ac:dyDescent="0.2"/>
    <row r="1443" s="110" customFormat="1" x14ac:dyDescent="0.2"/>
    <row r="1444" s="110" customFormat="1" x14ac:dyDescent="0.2"/>
    <row r="1445" s="110" customFormat="1" x14ac:dyDescent="0.2"/>
    <row r="1446" s="110" customFormat="1" x14ac:dyDescent="0.2"/>
    <row r="1447" s="110" customFormat="1" x14ac:dyDescent="0.2"/>
    <row r="1448" s="110" customFormat="1" x14ac:dyDescent="0.2"/>
    <row r="1449" s="110" customFormat="1" x14ac:dyDescent="0.2"/>
    <row r="1450" s="110" customFormat="1" x14ac:dyDescent="0.2"/>
    <row r="1451" s="110" customFormat="1" x14ac:dyDescent="0.2"/>
    <row r="1452" s="110" customFormat="1" x14ac:dyDescent="0.2"/>
    <row r="1453" s="110" customFormat="1" x14ac:dyDescent="0.2"/>
    <row r="1454" s="110" customFormat="1" x14ac:dyDescent="0.2"/>
    <row r="1455" s="110" customFormat="1" x14ac:dyDescent="0.2"/>
    <row r="1456" s="110" customFormat="1" x14ac:dyDescent="0.2"/>
    <row r="1457" s="110" customFormat="1" x14ac:dyDescent="0.2"/>
    <row r="1458" s="110" customFormat="1" x14ac:dyDescent="0.2"/>
    <row r="1459" s="110" customFormat="1" x14ac:dyDescent="0.2"/>
    <row r="1460" s="110" customFormat="1" x14ac:dyDescent="0.2"/>
    <row r="1461" s="110" customFormat="1" x14ac:dyDescent="0.2"/>
    <row r="1462" s="110" customFormat="1" x14ac:dyDescent="0.2"/>
    <row r="1463" s="110" customFormat="1" x14ac:dyDescent="0.2"/>
    <row r="1464" s="110" customFormat="1" x14ac:dyDescent="0.2"/>
    <row r="1465" s="110" customFormat="1" x14ac:dyDescent="0.2"/>
    <row r="1466" s="110" customFormat="1" x14ac:dyDescent="0.2"/>
    <row r="1467" s="110" customFormat="1" x14ac:dyDescent="0.2"/>
    <row r="1468" s="110" customFormat="1" x14ac:dyDescent="0.2"/>
    <row r="1469" s="110" customFormat="1" x14ac:dyDescent="0.2"/>
    <row r="1470" s="110" customFormat="1" x14ac:dyDescent="0.2"/>
    <row r="1471" s="110" customFormat="1" x14ac:dyDescent="0.2"/>
    <row r="1472" s="110" customFormat="1" x14ac:dyDescent="0.2"/>
    <row r="1473" s="110" customFormat="1" x14ac:dyDescent="0.2"/>
    <row r="1474" s="110" customFormat="1" x14ac:dyDescent="0.2"/>
    <row r="1475" s="110" customFormat="1" x14ac:dyDescent="0.2"/>
    <row r="1476" s="110" customFormat="1" x14ac:dyDescent="0.2"/>
    <row r="1477" s="110" customFormat="1" x14ac:dyDescent="0.2"/>
    <row r="1478" s="110" customFormat="1" x14ac:dyDescent="0.2"/>
    <row r="1479" s="110" customFormat="1" x14ac:dyDescent="0.2"/>
    <row r="1480" s="110" customFormat="1" x14ac:dyDescent="0.2"/>
    <row r="1481" s="110" customFormat="1" x14ac:dyDescent="0.2"/>
    <row r="1482" s="110" customFormat="1" x14ac:dyDescent="0.2"/>
    <row r="1483" s="110" customFormat="1" x14ac:dyDescent="0.2"/>
    <row r="1484" s="110" customFormat="1" x14ac:dyDescent="0.2"/>
    <row r="1485" s="110" customFormat="1" x14ac:dyDescent="0.2"/>
    <row r="1486" s="110" customFormat="1" x14ac:dyDescent="0.2"/>
    <row r="1487" s="110" customFormat="1" x14ac:dyDescent="0.2"/>
    <row r="1488" s="110" customFormat="1" x14ac:dyDescent="0.2"/>
    <row r="1489" s="110" customFormat="1" x14ac:dyDescent="0.2"/>
    <row r="1490" s="110" customFormat="1" x14ac:dyDescent="0.2"/>
    <row r="1491" s="110" customFormat="1" x14ac:dyDescent="0.2"/>
    <row r="1492" s="110" customFormat="1" x14ac:dyDescent="0.2"/>
    <row r="1493" s="110" customFormat="1" x14ac:dyDescent="0.2"/>
    <row r="1494" s="110" customFormat="1" x14ac:dyDescent="0.2"/>
    <row r="1495" s="110" customFormat="1" x14ac:dyDescent="0.2"/>
    <row r="1496" s="110" customFormat="1" x14ac:dyDescent="0.2"/>
    <row r="1497" s="110" customFormat="1" x14ac:dyDescent="0.2"/>
    <row r="1498" s="110" customFormat="1" x14ac:dyDescent="0.2"/>
    <row r="1499" s="110" customFormat="1" x14ac:dyDescent="0.2"/>
    <row r="1500" s="110" customFormat="1" x14ac:dyDescent="0.2"/>
    <row r="1501" s="110" customFormat="1" x14ac:dyDescent="0.2"/>
    <row r="1502" s="110" customFormat="1" x14ac:dyDescent="0.2"/>
    <row r="1503" s="110" customFormat="1" x14ac:dyDescent="0.2"/>
    <row r="1504" s="110" customFormat="1" x14ac:dyDescent="0.2"/>
    <row r="1505" s="110" customFormat="1" x14ac:dyDescent="0.2"/>
    <row r="1506" s="110" customFormat="1" x14ac:dyDescent="0.2"/>
    <row r="1507" s="110" customFormat="1" x14ac:dyDescent="0.2"/>
    <row r="1508" s="110" customFormat="1" x14ac:dyDescent="0.2"/>
    <row r="1509" s="110" customFormat="1" x14ac:dyDescent="0.2"/>
    <row r="1510" s="110" customFormat="1" x14ac:dyDescent="0.2"/>
    <row r="1511" s="110" customFormat="1" x14ac:dyDescent="0.2"/>
    <row r="1512" s="110" customFormat="1" x14ac:dyDescent="0.2"/>
    <row r="1513" s="110" customFormat="1" x14ac:dyDescent="0.2"/>
    <row r="1514" s="110" customFormat="1" x14ac:dyDescent="0.2"/>
    <row r="1515" s="110" customFormat="1" x14ac:dyDescent="0.2"/>
    <row r="1516" s="110" customFormat="1" x14ac:dyDescent="0.2"/>
    <row r="1517" s="110" customFormat="1" x14ac:dyDescent="0.2"/>
    <row r="1518" s="110" customFormat="1" x14ac:dyDescent="0.2"/>
    <row r="1519" s="110" customFormat="1" x14ac:dyDescent="0.2"/>
    <row r="1520" s="110" customFormat="1" x14ac:dyDescent="0.2"/>
    <row r="1521" s="110" customFormat="1" x14ac:dyDescent="0.2"/>
    <row r="1522" s="110" customFormat="1" x14ac:dyDescent="0.2"/>
    <row r="1523" s="110" customFormat="1" x14ac:dyDescent="0.2"/>
    <row r="1524" s="110" customFormat="1" x14ac:dyDescent="0.2"/>
    <row r="1525" s="110" customFormat="1" x14ac:dyDescent="0.2"/>
    <row r="1526" s="110" customFormat="1" x14ac:dyDescent="0.2"/>
    <row r="1527" s="110" customFormat="1" x14ac:dyDescent="0.2"/>
  </sheetData>
  <sheetProtection formatCells="0" formatColumns="0" formatRows="0" insertColumns="0" insertRows="0" insertHyperlinks="0" deleteColumns="0" deleteRows="0" sort="0" autoFilter="0" pivotTables="0"/>
  <mergeCells count="20">
    <mergeCell ref="J6:V6"/>
    <mergeCell ref="J8:P8"/>
    <mergeCell ref="Q8:S8"/>
    <mergeCell ref="J10:P10"/>
    <mergeCell ref="Q10:S10"/>
    <mergeCell ref="G12:M12"/>
    <mergeCell ref="Q12:V12"/>
    <mergeCell ref="L29:L31"/>
    <mergeCell ref="M29:M31"/>
    <mergeCell ref="N29:N31"/>
    <mergeCell ref="U27:U31"/>
    <mergeCell ref="V27:V31"/>
    <mergeCell ref="T27:T31"/>
    <mergeCell ref="D25:W25"/>
    <mergeCell ref="D27:G31"/>
    <mergeCell ref="W27:W31"/>
    <mergeCell ref="H29:H31"/>
    <mergeCell ref="I29:I31"/>
    <mergeCell ref="J29:J31"/>
    <mergeCell ref="K29:K31"/>
  </mergeCells>
  <conditionalFormatting sqref="H32:N38">
    <cfRule type="cellIs" dxfId="4" priority="5" operator="lessThan">
      <formula>0.85</formula>
    </cfRule>
  </conditionalFormatting>
  <conditionalFormatting sqref="T32:W35">
    <cfRule type="cellIs" dxfId="3" priority="4" operator="lessThan">
      <formula>0.85</formula>
    </cfRule>
  </conditionalFormatting>
  <conditionalFormatting sqref="T36:W38">
    <cfRule type="cellIs" dxfId="2" priority="3" operator="lessThan">
      <formula>0.85</formula>
    </cfRule>
  </conditionalFormatting>
  <conditionalFormatting sqref="H39:N39">
    <cfRule type="cellIs" dxfId="1" priority="2" operator="lessThan">
      <formula>0.85</formula>
    </cfRule>
  </conditionalFormatting>
  <conditionalFormatting sqref="T39:W39">
    <cfRule type="cellIs" dxfId="0" priority="1" operator="lessThan">
      <formula>0.85</formula>
    </cfRule>
  </conditionalFormatting>
  <pageMargins left="0.19685039370078741" right="0.19685039370078741" top="0.19685039370078741" bottom="0.19685039370078741" header="0.31496062992125984" footer="0.31496062992125984"/>
  <pageSetup paperSize="9" scale="10" fitToHeight="0"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73" r:id="rId4" name="Button 81">
              <controlPr defaultSize="0" print="0" autoFill="0" autoPict="0" macro="[0]!Menu">
                <anchor moveWithCells="1" sizeWithCells="1">
                  <from>
                    <xdr:col>25</xdr:col>
                    <xdr:colOff>63500</xdr:colOff>
                    <xdr:row>1</xdr:row>
                    <xdr:rowOff>12700</xdr:rowOff>
                  </from>
                  <to>
                    <xdr:col>26</xdr:col>
                    <xdr:colOff>234950</xdr:colOff>
                    <xdr:row>1</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39E86-CE43-4957-922A-5F0A12381F7B}">
  <sheetPr codeName="Sheet1"/>
  <dimension ref="A2:EO52"/>
  <sheetViews>
    <sheetView showGridLines="0" showRowColHeaders="0" topLeftCell="A16" zoomScale="57" zoomScaleNormal="55" workbookViewId="0">
      <selection activeCell="G58" sqref="G58"/>
    </sheetView>
  </sheetViews>
  <sheetFormatPr defaultRowHeight="14.5" x14ac:dyDescent="0.35"/>
  <cols>
    <col min="1" max="1" width="8.7265625" style="2"/>
    <col min="2" max="2" width="3.54296875" style="2" customWidth="1"/>
    <col min="3" max="3" width="1.26953125" style="2" customWidth="1"/>
    <col min="4" max="4" width="4.1796875" style="2" customWidth="1"/>
    <col min="5" max="5" width="3.7265625" style="2" customWidth="1"/>
    <col min="6" max="6" width="8.7265625" style="2"/>
    <col min="7" max="7" width="5.6328125" style="2" customWidth="1"/>
    <col min="8" max="8" width="0.7265625" style="2" customWidth="1"/>
    <col min="9" max="9" width="4.08984375" style="2" customWidth="1"/>
    <col min="10" max="10" width="3.08984375" style="2" customWidth="1"/>
    <col min="11" max="11" width="0.54296875" style="2" customWidth="1"/>
    <col min="12" max="12" width="3.7265625" style="2" customWidth="1"/>
    <col min="13" max="13" width="8.7265625" style="2"/>
    <col min="14" max="14" width="5.90625" style="2" customWidth="1"/>
    <col min="15" max="15" width="4.7265625" style="2" customWidth="1"/>
    <col min="16" max="16" width="3.453125" style="2" customWidth="1"/>
    <col min="17" max="17" width="0.7265625" style="2" customWidth="1"/>
    <col min="18" max="18" width="3.81640625" style="2" customWidth="1"/>
    <col min="19" max="19" width="8.7265625" style="2"/>
    <col min="20" max="20" width="5.54296875" style="2" customWidth="1"/>
    <col min="21" max="21" width="0.81640625" style="2" customWidth="1"/>
    <col min="22" max="22" width="2.6328125" style="2" customWidth="1"/>
    <col min="23" max="23" width="4.6328125" style="2" customWidth="1"/>
    <col min="24" max="24" width="0.90625" style="2" customWidth="1"/>
    <col min="25" max="25" width="4.08984375" style="2" customWidth="1"/>
    <col min="26" max="26" width="8.7265625" style="2"/>
    <col min="27" max="27" width="9.1796875" style="2" customWidth="1"/>
    <col min="28" max="28" width="0.453125" style="2" customWidth="1"/>
    <col min="29" max="29" width="4.1796875" style="2" customWidth="1"/>
    <col min="30" max="30" width="0.7265625" style="2" customWidth="1"/>
    <col min="31" max="31" width="4.1796875" style="2" customWidth="1"/>
    <col min="32" max="32" width="8.7265625" style="2"/>
    <col min="33" max="33" width="3.1796875" style="2" customWidth="1"/>
    <col min="34" max="34" width="10.6328125" style="2" customWidth="1"/>
    <col min="35" max="35" width="2.90625" style="2" customWidth="1"/>
    <col min="36" max="36" width="2.1796875" style="2" customWidth="1"/>
    <col min="37" max="37" width="1.7265625" style="2" customWidth="1"/>
    <col min="38" max="43" width="8.7265625" style="2"/>
    <col min="44" max="44" width="7.6328125" style="2" customWidth="1"/>
    <col min="45" max="145" width="8.7265625" style="2"/>
  </cols>
  <sheetData>
    <row r="2" spans="2:44" x14ac:dyDescent="0.35">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3" spans="2:44" x14ac:dyDescent="0.3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row>
    <row r="4" spans="2:44" x14ac:dyDescent="0.35">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row>
    <row r="5" spans="2:44" x14ac:dyDescent="0.35">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row>
    <row r="6" spans="2:44" x14ac:dyDescent="0.35">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row>
    <row r="7" spans="2:44" x14ac:dyDescent="0.35">
      <c r="B7" s="1"/>
      <c r="C7" s="1"/>
      <c r="D7" s="222" t="s">
        <v>25</v>
      </c>
      <c r="E7" s="222"/>
      <c r="F7" s="222"/>
      <c r="G7" s="1"/>
      <c r="H7" s="1"/>
      <c r="I7" s="1"/>
      <c r="J7" s="1"/>
      <c r="K7" s="1"/>
      <c r="L7" s="1"/>
      <c r="M7" s="1"/>
      <c r="N7" s="1"/>
      <c r="O7" s="1"/>
      <c r="P7" s="1"/>
      <c r="Q7" s="1"/>
      <c r="R7" s="1"/>
      <c r="S7" s="1"/>
      <c r="T7" s="222" t="s">
        <v>31</v>
      </c>
      <c r="U7" s="222"/>
      <c r="V7" s="222"/>
      <c r="W7" s="222"/>
      <c r="X7" s="222"/>
      <c r="Y7" s="222"/>
      <c r="Z7" s="1"/>
      <c r="AA7" s="1"/>
      <c r="AB7" s="1"/>
      <c r="AC7" s="1"/>
      <c r="AD7" s="1"/>
      <c r="AE7" s="1"/>
      <c r="AF7" s="1"/>
      <c r="AG7" s="1"/>
      <c r="AH7" s="1"/>
      <c r="AI7" s="1"/>
      <c r="AJ7" s="1"/>
      <c r="AK7" s="1"/>
      <c r="AL7" s="1"/>
      <c r="AM7" s="1"/>
      <c r="AN7" s="1"/>
      <c r="AO7" s="1"/>
      <c r="AP7" s="1"/>
      <c r="AQ7" s="1"/>
      <c r="AR7" s="1"/>
    </row>
    <row r="8" spans="2:44" x14ac:dyDescent="0.35">
      <c r="B8" s="1"/>
      <c r="C8" s="1"/>
      <c r="D8" s="222" t="s">
        <v>26</v>
      </c>
      <c r="E8" s="222"/>
      <c r="F8" s="222"/>
      <c r="G8" s="224">
        <v>44785.87222222222</v>
      </c>
      <c r="H8" s="224"/>
      <c r="I8" s="224"/>
      <c r="J8" s="224"/>
      <c r="K8" s="224"/>
      <c r="L8" s="224"/>
      <c r="M8" s="224"/>
      <c r="N8" s="224"/>
      <c r="O8" s="1"/>
      <c r="P8" s="1"/>
      <c r="Q8" s="1"/>
      <c r="R8" s="1"/>
      <c r="S8" s="1"/>
      <c r="T8" s="222" t="s">
        <v>32</v>
      </c>
      <c r="U8" s="222"/>
      <c r="V8" s="222"/>
      <c r="W8" s="1"/>
      <c r="X8" s="1"/>
      <c r="Y8" s="1"/>
      <c r="Z8" s="1"/>
      <c r="AA8" s="1"/>
      <c r="AB8" s="1"/>
      <c r="AC8" s="1"/>
      <c r="AD8" s="1"/>
      <c r="AE8" s="1"/>
      <c r="AF8" s="1"/>
      <c r="AG8" s="1"/>
      <c r="AH8" s="1"/>
      <c r="AI8" s="1"/>
      <c r="AJ8" s="1"/>
      <c r="AK8" s="1"/>
      <c r="AL8" s="1"/>
      <c r="AM8" s="1"/>
      <c r="AN8" s="1"/>
      <c r="AO8" s="1"/>
      <c r="AP8" s="1"/>
      <c r="AQ8" s="1"/>
      <c r="AR8" s="1"/>
    </row>
    <row r="9" spans="2:44" x14ac:dyDescent="0.35">
      <c r="B9" s="1"/>
      <c r="C9" s="1"/>
      <c r="D9" s="222" t="s">
        <v>27</v>
      </c>
      <c r="E9" s="222"/>
      <c r="F9" s="222"/>
      <c r="G9" s="46" t="s">
        <v>29</v>
      </c>
      <c r="H9" s="46"/>
      <c r="I9" s="46"/>
      <c r="J9" s="46"/>
      <c r="K9" s="46"/>
      <c r="L9" s="46"/>
      <c r="M9" s="46"/>
      <c r="N9" s="46"/>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row>
    <row r="10" spans="2:44" x14ac:dyDescent="0.35">
      <c r="B10" s="1"/>
      <c r="C10" s="1"/>
      <c r="D10" s="222" t="s">
        <v>28</v>
      </c>
      <c r="E10" s="222"/>
      <c r="F10" s="222"/>
      <c r="G10" s="46" t="s">
        <v>30</v>
      </c>
      <c r="H10" s="46"/>
      <c r="I10" s="46"/>
      <c r="J10" s="46"/>
      <c r="K10" s="46"/>
      <c r="L10" s="46"/>
      <c r="M10" s="46"/>
      <c r="N10" s="46"/>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row>
    <row r="11" spans="2:44" x14ac:dyDescent="0.35">
      <c r="B11" s="1"/>
      <c r="C11" s="1"/>
      <c r="D11" s="222"/>
      <c r="E11" s="222"/>
      <c r="F11" s="222"/>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row>
    <row r="12" spans="2:44" x14ac:dyDescent="0.35">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row>
    <row r="13" spans="2:44" x14ac:dyDescent="0.35">
      <c r="B13" s="1"/>
      <c r="C13" s="1"/>
      <c r="D13" s="1"/>
      <c r="E13" s="24"/>
      <c r="F13" s="45" t="s">
        <v>0</v>
      </c>
      <c r="G13" s="20"/>
      <c r="H13" s="20"/>
      <c r="I13" s="20"/>
      <c r="J13" s="21"/>
      <c r="K13" s="19"/>
      <c r="L13" s="27"/>
      <c r="M13" s="44" t="s">
        <v>3</v>
      </c>
      <c r="N13" s="20"/>
      <c r="O13" s="20"/>
      <c r="P13" s="21"/>
      <c r="Q13" s="22"/>
      <c r="R13" s="30"/>
      <c r="S13" s="45" t="s">
        <v>6</v>
      </c>
      <c r="T13" s="20"/>
      <c r="U13" s="20"/>
      <c r="V13" s="20"/>
      <c r="W13" s="21"/>
      <c r="X13" s="1"/>
      <c r="Y13" s="33"/>
      <c r="Z13" s="45" t="s">
        <v>9</v>
      </c>
      <c r="AA13" s="20"/>
      <c r="AB13" s="20"/>
      <c r="AC13" s="21"/>
      <c r="AD13" s="23"/>
      <c r="AE13" s="36"/>
      <c r="AF13" s="44" t="s">
        <v>12</v>
      </c>
      <c r="AG13" s="20"/>
      <c r="AH13" s="21"/>
      <c r="AI13" s="1"/>
      <c r="AJ13" s="1"/>
      <c r="AK13" s="1"/>
      <c r="AL13" s="41" t="s">
        <v>21</v>
      </c>
      <c r="AM13" s="223" t="s">
        <v>22</v>
      </c>
      <c r="AN13" s="223"/>
      <c r="AO13" s="223"/>
      <c r="AP13" s="41" t="s">
        <v>23</v>
      </c>
      <c r="AQ13" s="43" t="s">
        <v>24</v>
      </c>
      <c r="AR13" s="38"/>
    </row>
    <row r="14" spans="2:44" ht="17.5" customHeight="1" x14ac:dyDescent="0.35">
      <c r="B14" s="1"/>
      <c r="C14" s="1"/>
      <c r="D14" s="1"/>
      <c r="E14" s="25"/>
      <c r="F14" s="45" t="s">
        <v>1</v>
      </c>
      <c r="G14" s="20"/>
      <c r="H14" s="20"/>
      <c r="I14" s="20"/>
      <c r="J14" s="21"/>
      <c r="K14" s="19"/>
      <c r="L14" s="28"/>
      <c r="M14" s="44" t="s">
        <v>4</v>
      </c>
      <c r="N14" s="20"/>
      <c r="O14" s="20"/>
      <c r="P14" s="21"/>
      <c r="Q14" s="22"/>
      <c r="R14" s="31"/>
      <c r="S14" s="45" t="s">
        <v>7</v>
      </c>
      <c r="T14" s="20"/>
      <c r="U14" s="20"/>
      <c r="V14" s="20"/>
      <c r="W14" s="21"/>
      <c r="X14" s="1"/>
      <c r="Y14" s="34"/>
      <c r="Z14" s="45" t="s">
        <v>10</v>
      </c>
      <c r="AA14" s="20"/>
      <c r="AB14" s="20"/>
      <c r="AC14" s="21"/>
      <c r="AD14" s="23"/>
      <c r="AE14" s="37"/>
      <c r="AF14" s="44" t="s">
        <v>13</v>
      </c>
      <c r="AG14" s="20"/>
      <c r="AH14" s="21"/>
      <c r="AI14" s="1"/>
      <c r="AJ14" s="1"/>
      <c r="AK14" s="1"/>
      <c r="AL14" s="39"/>
      <c r="AM14" s="218"/>
      <c r="AN14" s="218"/>
      <c r="AO14" s="218"/>
      <c r="AP14" s="39"/>
      <c r="AQ14" s="39"/>
      <c r="AR14" s="38"/>
    </row>
    <row r="15" spans="2:44" x14ac:dyDescent="0.35">
      <c r="B15" s="1"/>
      <c r="C15" s="1"/>
      <c r="D15" s="1"/>
      <c r="E15" s="26"/>
      <c r="F15" s="45" t="s">
        <v>2</v>
      </c>
      <c r="G15" s="20"/>
      <c r="H15" s="20"/>
      <c r="I15" s="20"/>
      <c r="J15" s="21"/>
      <c r="K15" s="19"/>
      <c r="L15" s="29"/>
      <c r="M15" s="44" t="s">
        <v>5</v>
      </c>
      <c r="N15" s="20"/>
      <c r="O15" s="20"/>
      <c r="P15" s="21"/>
      <c r="Q15" s="22"/>
      <c r="R15" s="32"/>
      <c r="S15" s="45" t="s">
        <v>8</v>
      </c>
      <c r="T15" s="20"/>
      <c r="U15" s="20"/>
      <c r="V15" s="20"/>
      <c r="W15" s="21"/>
      <c r="X15" s="1"/>
      <c r="Y15" s="35"/>
      <c r="Z15" s="45" t="s">
        <v>11</v>
      </c>
      <c r="AA15" s="20"/>
      <c r="AB15" s="20"/>
      <c r="AC15" s="21"/>
      <c r="AD15" s="23"/>
      <c r="AE15" s="1"/>
      <c r="AF15" s="1"/>
      <c r="AG15" s="1"/>
      <c r="AH15" s="1"/>
      <c r="AI15" s="1"/>
      <c r="AJ15" s="1"/>
      <c r="AK15" s="1"/>
      <c r="AL15" s="39"/>
      <c r="AM15" s="218"/>
      <c r="AN15" s="218"/>
      <c r="AO15" s="218"/>
      <c r="AP15" s="39"/>
      <c r="AQ15" s="39"/>
      <c r="AR15" s="38"/>
    </row>
    <row r="16" spans="2:44" x14ac:dyDescent="0.35">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39"/>
      <c r="AM16" s="218"/>
      <c r="AN16" s="218"/>
      <c r="AO16" s="218"/>
      <c r="AP16" s="39"/>
      <c r="AQ16" s="39"/>
      <c r="AR16" s="38"/>
    </row>
    <row r="17" spans="2:44" x14ac:dyDescent="0.35">
      <c r="B17" s="1"/>
      <c r="C17" s="1"/>
      <c r="D17" s="1"/>
      <c r="E17" s="47"/>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9"/>
      <c r="AI17" s="1"/>
      <c r="AJ17" s="1"/>
      <c r="AK17" s="1"/>
      <c r="AL17" s="39"/>
      <c r="AM17" s="218"/>
      <c r="AN17" s="218"/>
      <c r="AO17" s="218"/>
      <c r="AP17" s="39"/>
      <c r="AQ17" s="39"/>
      <c r="AR17" s="38"/>
    </row>
    <row r="18" spans="2:44" x14ac:dyDescent="0.35">
      <c r="B18" s="1"/>
      <c r="C18" s="1"/>
      <c r="D18" s="1"/>
      <c r="E18" s="50"/>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51"/>
      <c r="AI18" s="1"/>
      <c r="AJ18" s="1"/>
      <c r="AK18" s="1"/>
      <c r="AL18" s="39"/>
      <c r="AM18" s="218"/>
      <c r="AN18" s="218"/>
      <c r="AO18" s="218"/>
      <c r="AP18" s="39"/>
      <c r="AQ18" s="39"/>
      <c r="AR18" s="38"/>
    </row>
    <row r="19" spans="2:44" x14ac:dyDescent="0.35">
      <c r="B19" s="1"/>
      <c r="C19" s="1"/>
      <c r="D19" s="1"/>
      <c r="E19" s="50"/>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51"/>
      <c r="AI19" s="1"/>
      <c r="AJ19" s="1"/>
      <c r="AK19" s="1"/>
      <c r="AL19" s="39"/>
      <c r="AM19" s="218"/>
      <c r="AN19" s="218"/>
      <c r="AO19" s="218"/>
      <c r="AP19" s="39"/>
      <c r="AQ19" s="39"/>
      <c r="AR19" s="38"/>
    </row>
    <row r="20" spans="2:44" x14ac:dyDescent="0.35">
      <c r="B20" s="1"/>
      <c r="C20" s="1"/>
      <c r="D20" s="1"/>
      <c r="E20" s="50"/>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51"/>
      <c r="AI20" s="1"/>
      <c r="AJ20" s="1"/>
      <c r="AK20" s="1"/>
      <c r="AL20" s="39"/>
      <c r="AM20" s="218"/>
      <c r="AN20" s="218"/>
      <c r="AO20" s="218"/>
      <c r="AP20" s="39"/>
      <c r="AQ20" s="39"/>
      <c r="AR20" s="38"/>
    </row>
    <row r="21" spans="2:44" x14ac:dyDescent="0.35">
      <c r="B21" s="1"/>
      <c r="C21" s="1"/>
      <c r="D21" s="1"/>
      <c r="E21" s="50"/>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51"/>
      <c r="AI21" s="1"/>
      <c r="AJ21" s="1"/>
      <c r="AK21" s="1"/>
      <c r="AL21" s="39"/>
      <c r="AM21" s="218"/>
      <c r="AN21" s="218"/>
      <c r="AO21" s="218"/>
      <c r="AP21" s="39"/>
      <c r="AQ21" s="39"/>
      <c r="AR21" s="38"/>
    </row>
    <row r="22" spans="2:44" x14ac:dyDescent="0.35">
      <c r="B22" s="1"/>
      <c r="C22" s="1"/>
      <c r="D22" s="1"/>
      <c r="E22" s="50"/>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51"/>
      <c r="AI22" s="1"/>
      <c r="AJ22" s="1"/>
      <c r="AK22" s="1"/>
      <c r="AL22" s="39"/>
      <c r="AM22" s="218"/>
      <c r="AN22" s="218"/>
      <c r="AO22" s="218"/>
      <c r="AP22" s="39"/>
      <c r="AQ22" s="39"/>
      <c r="AR22" s="38"/>
    </row>
    <row r="23" spans="2:44" x14ac:dyDescent="0.35">
      <c r="B23" s="1"/>
      <c r="C23" s="1"/>
      <c r="D23" s="1"/>
      <c r="E23" s="50"/>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51"/>
      <c r="AI23" s="1"/>
      <c r="AJ23" s="1"/>
      <c r="AK23" s="1"/>
      <c r="AL23" s="39"/>
      <c r="AM23" s="218"/>
      <c r="AN23" s="218"/>
      <c r="AO23" s="218"/>
      <c r="AP23" s="39"/>
      <c r="AQ23" s="39"/>
      <c r="AR23" s="38"/>
    </row>
    <row r="24" spans="2:44" x14ac:dyDescent="0.35">
      <c r="B24" s="1"/>
      <c r="C24" s="1"/>
      <c r="D24" s="1"/>
      <c r="E24" s="50"/>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51"/>
      <c r="AI24" s="1"/>
      <c r="AJ24" s="1"/>
      <c r="AK24" s="1"/>
      <c r="AL24" s="39"/>
      <c r="AM24" s="218"/>
      <c r="AN24" s="218"/>
      <c r="AO24" s="218"/>
      <c r="AP24" s="39"/>
      <c r="AQ24" s="39"/>
      <c r="AR24" s="38"/>
    </row>
    <row r="25" spans="2:44" ht="18.5" x14ac:dyDescent="0.35">
      <c r="B25" s="1"/>
      <c r="C25" s="1"/>
      <c r="D25" s="1"/>
      <c r="E25" s="52"/>
      <c r="F25" s="225"/>
      <c r="G25" s="225"/>
      <c r="H25" s="53"/>
      <c r="I25" s="226"/>
      <c r="J25" s="226"/>
      <c r="K25" s="54"/>
      <c r="L25" s="226"/>
      <c r="M25" s="226"/>
      <c r="N25" s="225"/>
      <c r="O25" s="225"/>
      <c r="P25" s="225"/>
      <c r="Q25" s="225"/>
      <c r="R25" s="225"/>
      <c r="S25" s="19"/>
      <c r="T25" s="19"/>
      <c r="U25" s="19"/>
      <c r="V25" s="19"/>
      <c r="W25" s="19"/>
      <c r="X25" s="19"/>
      <c r="Y25" s="19"/>
      <c r="Z25" s="19"/>
      <c r="AA25" s="19"/>
      <c r="AB25" s="19"/>
      <c r="AC25" s="19"/>
      <c r="AD25" s="19"/>
      <c r="AE25" s="19"/>
      <c r="AF25" s="19"/>
      <c r="AG25" s="19"/>
      <c r="AH25" s="51"/>
      <c r="AI25" s="1"/>
      <c r="AJ25" s="1"/>
      <c r="AK25" s="1"/>
      <c r="AL25" s="39"/>
      <c r="AM25" s="218"/>
      <c r="AN25" s="218"/>
      <c r="AO25" s="218"/>
      <c r="AP25" s="39"/>
      <c r="AQ25" s="39"/>
      <c r="AR25" s="38"/>
    </row>
    <row r="26" spans="2:44" x14ac:dyDescent="0.35">
      <c r="B26" s="1"/>
      <c r="C26" s="1"/>
      <c r="D26" s="1"/>
      <c r="E26" s="50"/>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51"/>
      <c r="AI26" s="1"/>
      <c r="AJ26" s="1"/>
      <c r="AK26" s="1"/>
      <c r="AL26" s="39"/>
      <c r="AM26" s="218"/>
      <c r="AN26" s="218"/>
      <c r="AO26" s="218"/>
      <c r="AP26" s="39"/>
      <c r="AQ26" s="39"/>
      <c r="AR26" s="38"/>
    </row>
    <row r="27" spans="2:44" x14ac:dyDescent="0.35">
      <c r="B27" s="1"/>
      <c r="C27" s="1"/>
      <c r="D27" s="1"/>
      <c r="E27" s="50"/>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51"/>
      <c r="AI27" s="1"/>
      <c r="AJ27" s="1"/>
      <c r="AK27" s="1"/>
      <c r="AL27" s="39"/>
      <c r="AM27" s="218"/>
      <c r="AN27" s="218"/>
      <c r="AO27" s="218"/>
      <c r="AP27" s="39"/>
      <c r="AQ27" s="39"/>
      <c r="AR27" s="38"/>
    </row>
    <row r="28" spans="2:44" x14ac:dyDescent="0.35">
      <c r="B28" s="1"/>
      <c r="C28" s="1"/>
      <c r="D28" s="1"/>
      <c r="E28" s="50"/>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51"/>
      <c r="AI28" s="1"/>
      <c r="AJ28" s="1"/>
      <c r="AK28" s="1"/>
      <c r="AL28" s="39"/>
      <c r="AM28" s="218"/>
      <c r="AN28" s="218"/>
      <c r="AO28" s="218"/>
      <c r="AP28" s="39"/>
      <c r="AQ28" s="39"/>
      <c r="AR28" s="38"/>
    </row>
    <row r="29" spans="2:44" x14ac:dyDescent="0.35">
      <c r="B29" s="1"/>
      <c r="C29" s="1"/>
      <c r="D29" s="1"/>
      <c r="E29" s="50"/>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51"/>
      <c r="AI29" s="1"/>
      <c r="AJ29" s="1"/>
      <c r="AK29" s="1"/>
      <c r="AL29" s="39"/>
      <c r="AM29" s="218"/>
      <c r="AN29" s="218"/>
      <c r="AO29" s="218"/>
      <c r="AP29" s="39"/>
      <c r="AQ29" s="39"/>
      <c r="AR29" s="38"/>
    </row>
    <row r="30" spans="2:44" x14ac:dyDescent="0.35">
      <c r="B30" s="1"/>
      <c r="C30" s="1"/>
      <c r="D30" s="1"/>
      <c r="E30" s="50"/>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51"/>
      <c r="AI30" s="1"/>
      <c r="AJ30" s="1"/>
      <c r="AK30" s="1"/>
      <c r="AL30" s="39"/>
      <c r="AM30" s="218"/>
      <c r="AN30" s="218"/>
      <c r="AO30" s="218"/>
      <c r="AP30" s="39"/>
      <c r="AQ30" s="39"/>
      <c r="AR30" s="38"/>
    </row>
    <row r="31" spans="2:44" x14ac:dyDescent="0.35">
      <c r="B31" s="1"/>
      <c r="C31" s="1"/>
      <c r="D31" s="1"/>
      <c r="E31" s="50"/>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51"/>
      <c r="AI31" s="1"/>
      <c r="AJ31" s="1"/>
      <c r="AK31" s="1"/>
      <c r="AL31" s="39"/>
      <c r="AM31" s="218"/>
      <c r="AN31" s="218"/>
      <c r="AO31" s="218"/>
      <c r="AP31" s="39"/>
      <c r="AQ31" s="39"/>
      <c r="AR31" s="38"/>
    </row>
    <row r="32" spans="2:44" x14ac:dyDescent="0.35">
      <c r="B32" s="1"/>
      <c r="C32" s="1"/>
      <c r="D32" s="1"/>
      <c r="E32" s="50"/>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51"/>
      <c r="AI32" s="1"/>
      <c r="AJ32" s="1"/>
      <c r="AK32" s="1"/>
      <c r="AL32" s="39"/>
      <c r="AM32" s="218"/>
      <c r="AN32" s="218"/>
      <c r="AO32" s="218"/>
      <c r="AP32" s="39"/>
      <c r="AQ32" s="39"/>
      <c r="AR32" s="38"/>
    </row>
    <row r="33" spans="2:44" x14ac:dyDescent="0.35">
      <c r="B33" s="1"/>
      <c r="C33" s="1"/>
      <c r="D33" s="1"/>
      <c r="E33" s="50"/>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51"/>
      <c r="AI33" s="1"/>
      <c r="AJ33" s="1"/>
      <c r="AK33" s="1"/>
      <c r="AL33" s="39"/>
      <c r="AM33" s="218"/>
      <c r="AN33" s="218"/>
      <c r="AO33" s="218"/>
      <c r="AP33" s="39"/>
      <c r="AQ33" s="39"/>
      <c r="AR33" s="38"/>
    </row>
    <row r="34" spans="2:44" x14ac:dyDescent="0.35">
      <c r="B34" s="1"/>
      <c r="C34" s="1"/>
      <c r="D34" s="1"/>
      <c r="E34" s="50"/>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51"/>
      <c r="AI34" s="1"/>
      <c r="AJ34" s="1"/>
      <c r="AK34" s="1"/>
      <c r="AL34" s="39"/>
      <c r="AM34" s="218"/>
      <c r="AN34" s="218"/>
      <c r="AO34" s="218"/>
      <c r="AP34" s="39"/>
      <c r="AQ34" s="39"/>
      <c r="AR34" s="38"/>
    </row>
    <row r="35" spans="2:44" x14ac:dyDescent="0.35">
      <c r="B35" s="1"/>
      <c r="C35" s="1"/>
      <c r="D35" s="1"/>
      <c r="E35" s="50"/>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51"/>
      <c r="AI35" s="1"/>
      <c r="AJ35" s="1"/>
      <c r="AK35" s="1"/>
      <c r="AL35" s="39"/>
      <c r="AM35" s="218"/>
      <c r="AN35" s="218"/>
      <c r="AO35" s="218"/>
      <c r="AP35" s="39"/>
      <c r="AQ35" s="39"/>
      <c r="AR35" s="38"/>
    </row>
    <row r="36" spans="2:44" x14ac:dyDescent="0.35">
      <c r="B36" s="1"/>
      <c r="C36" s="1"/>
      <c r="D36" s="1"/>
      <c r="E36" s="50"/>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51"/>
      <c r="AI36" s="1"/>
      <c r="AJ36" s="1"/>
      <c r="AK36" s="1"/>
      <c r="AL36" s="39"/>
      <c r="AM36" s="218"/>
      <c r="AN36" s="218"/>
      <c r="AO36" s="218"/>
      <c r="AP36" s="39"/>
      <c r="AQ36" s="39"/>
      <c r="AR36" s="38"/>
    </row>
    <row r="37" spans="2:44" x14ac:dyDescent="0.35">
      <c r="B37" s="1"/>
      <c r="C37" s="1"/>
      <c r="D37" s="1"/>
      <c r="E37" s="50"/>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51"/>
      <c r="AI37" s="1"/>
      <c r="AJ37" s="1"/>
      <c r="AK37" s="1"/>
      <c r="AL37" s="39"/>
      <c r="AM37" s="219"/>
      <c r="AN37" s="220"/>
      <c r="AO37" s="221"/>
      <c r="AP37" s="39"/>
      <c r="AQ37" s="39"/>
      <c r="AR37" s="38"/>
    </row>
    <row r="38" spans="2:44" x14ac:dyDescent="0.35">
      <c r="B38" s="1"/>
      <c r="C38" s="1"/>
      <c r="D38" s="1"/>
      <c r="E38" s="50"/>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51"/>
      <c r="AI38" s="1"/>
      <c r="AJ38" s="1"/>
      <c r="AK38" s="1"/>
      <c r="AL38" s="39"/>
      <c r="AM38" s="218"/>
      <c r="AN38" s="218"/>
      <c r="AO38" s="218"/>
      <c r="AP38" s="39"/>
      <c r="AQ38" s="39"/>
      <c r="AR38" s="38"/>
    </row>
    <row r="39" spans="2:44" x14ac:dyDescent="0.35">
      <c r="B39" s="1"/>
      <c r="C39" s="1"/>
      <c r="D39" s="1"/>
      <c r="E39" s="50"/>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51"/>
      <c r="AI39" s="1"/>
      <c r="AJ39" s="1"/>
      <c r="AK39" s="1"/>
      <c r="AL39" s="39"/>
      <c r="AM39" s="218"/>
      <c r="AN39" s="218"/>
      <c r="AO39" s="218"/>
      <c r="AP39" s="39"/>
      <c r="AQ39" s="39"/>
      <c r="AR39" s="38"/>
    </row>
    <row r="40" spans="2:44" x14ac:dyDescent="0.35">
      <c r="B40" s="1"/>
      <c r="C40" s="1"/>
      <c r="D40" s="1"/>
      <c r="E40" s="50"/>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51"/>
      <c r="AI40" s="1"/>
      <c r="AJ40" s="1"/>
      <c r="AK40" s="1"/>
      <c r="AL40" s="39"/>
      <c r="AM40" s="218"/>
      <c r="AN40" s="218"/>
      <c r="AO40" s="218"/>
      <c r="AP40" s="39"/>
      <c r="AQ40" s="39"/>
      <c r="AR40" s="38"/>
    </row>
    <row r="41" spans="2:44" x14ac:dyDescent="0.35">
      <c r="B41" s="1"/>
      <c r="C41" s="1"/>
      <c r="D41" s="1"/>
      <c r="E41" s="50"/>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51"/>
      <c r="AI41" s="1"/>
      <c r="AJ41" s="1"/>
      <c r="AK41" s="1"/>
      <c r="AL41" s="39"/>
      <c r="AM41" s="218"/>
      <c r="AN41" s="218"/>
      <c r="AO41" s="218"/>
      <c r="AP41" s="39"/>
      <c r="AQ41" s="39"/>
      <c r="AR41" s="38"/>
    </row>
    <row r="42" spans="2:44" x14ac:dyDescent="0.35">
      <c r="B42" s="1"/>
      <c r="C42" s="1"/>
      <c r="D42" s="1"/>
      <c r="E42" s="50"/>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51"/>
      <c r="AI42" s="1"/>
      <c r="AJ42" s="1"/>
      <c r="AK42" s="1"/>
      <c r="AL42" s="40"/>
      <c r="AM42" s="218"/>
      <c r="AN42" s="218"/>
      <c r="AO42" s="218"/>
      <c r="AP42" s="40"/>
      <c r="AQ42" s="40"/>
      <c r="AR42" s="38"/>
    </row>
    <row r="43" spans="2:44" x14ac:dyDescent="0.35">
      <c r="B43" s="1"/>
      <c r="C43" s="1"/>
      <c r="D43" s="1"/>
      <c r="E43" s="50"/>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51"/>
      <c r="AI43" s="1"/>
      <c r="AJ43" s="1"/>
      <c r="AK43" s="1"/>
      <c r="AL43" s="40"/>
      <c r="AM43" s="218"/>
      <c r="AN43" s="218"/>
      <c r="AO43" s="218"/>
      <c r="AP43" s="40"/>
      <c r="AQ43" s="40"/>
      <c r="AR43" s="1"/>
    </row>
    <row r="44" spans="2:44" x14ac:dyDescent="0.35">
      <c r="B44" s="1"/>
      <c r="C44" s="1"/>
      <c r="D44" s="1"/>
      <c r="E44" s="50"/>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51"/>
      <c r="AI44" s="1"/>
      <c r="AJ44" s="1"/>
      <c r="AK44" s="1"/>
      <c r="AL44" s="40"/>
      <c r="AM44" s="218"/>
      <c r="AN44" s="218"/>
      <c r="AO44" s="218"/>
      <c r="AP44" s="40"/>
      <c r="AQ44" s="40"/>
      <c r="AR44" s="1"/>
    </row>
    <row r="45" spans="2:44" x14ac:dyDescent="0.35">
      <c r="B45" s="1"/>
      <c r="C45" s="1"/>
      <c r="D45" s="1"/>
      <c r="E45" s="50"/>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51"/>
      <c r="AI45" s="1"/>
      <c r="AJ45" s="1"/>
      <c r="AK45" s="1"/>
      <c r="AL45" s="40"/>
      <c r="AM45" s="218"/>
      <c r="AN45" s="218"/>
      <c r="AO45" s="218"/>
      <c r="AP45" s="40"/>
      <c r="AQ45" s="40"/>
      <c r="AR45" s="1"/>
    </row>
    <row r="46" spans="2:44" x14ac:dyDescent="0.35">
      <c r="B46" s="1"/>
      <c r="C46" s="1"/>
      <c r="D46" s="1"/>
      <c r="E46" s="50"/>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51"/>
      <c r="AI46" s="1"/>
      <c r="AJ46" s="1"/>
      <c r="AK46" s="1"/>
      <c r="AL46" s="39"/>
      <c r="AM46" s="218"/>
      <c r="AN46" s="218"/>
      <c r="AO46" s="218"/>
      <c r="AP46" s="39"/>
      <c r="AQ46" s="39"/>
      <c r="AR46" s="38"/>
    </row>
    <row r="47" spans="2:44" x14ac:dyDescent="0.35">
      <c r="B47" s="1"/>
      <c r="C47" s="1"/>
      <c r="D47" s="1"/>
      <c r="E47" s="50"/>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51"/>
      <c r="AI47" s="1"/>
      <c r="AJ47" s="1"/>
      <c r="AK47" s="1"/>
      <c r="AL47" s="39"/>
      <c r="AM47" s="218"/>
      <c r="AN47" s="218"/>
      <c r="AO47" s="218"/>
      <c r="AP47" s="39"/>
      <c r="AQ47" s="39"/>
      <c r="AR47" s="1"/>
    </row>
    <row r="48" spans="2:44" x14ac:dyDescent="0.35">
      <c r="B48" s="1"/>
      <c r="C48" s="1"/>
      <c r="D48" s="1"/>
      <c r="E48" s="50"/>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51"/>
      <c r="AI48" s="1"/>
      <c r="AJ48" s="1"/>
      <c r="AK48" s="1"/>
      <c r="AL48" s="39"/>
      <c r="AM48" s="218"/>
      <c r="AN48" s="218"/>
      <c r="AO48" s="218"/>
      <c r="AP48" s="39"/>
      <c r="AQ48" s="39"/>
      <c r="AR48" s="1"/>
    </row>
    <row r="49" spans="2:44" x14ac:dyDescent="0.35">
      <c r="B49" s="1"/>
      <c r="C49" s="1"/>
      <c r="D49" s="1"/>
      <c r="E49" s="50"/>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51"/>
      <c r="AI49" s="1"/>
      <c r="AJ49" s="1"/>
      <c r="AK49" s="1"/>
      <c r="AL49" s="39"/>
      <c r="AM49" s="218"/>
      <c r="AN49" s="218"/>
      <c r="AO49" s="218"/>
      <c r="AP49" s="39"/>
      <c r="AQ49" s="39"/>
      <c r="AR49" s="1"/>
    </row>
    <row r="50" spans="2:44" x14ac:dyDescent="0.35">
      <c r="B50" s="1"/>
      <c r="C50" s="1"/>
      <c r="D50" s="1"/>
      <c r="E50" s="55"/>
      <c r="F50" s="56"/>
      <c r="G50" s="56"/>
      <c r="H50" s="56"/>
      <c r="I50" s="56"/>
      <c r="J50" s="56"/>
      <c r="K50" s="56"/>
      <c r="L50" s="56"/>
      <c r="M50" s="56"/>
      <c r="N50" s="56"/>
      <c r="O50" s="56"/>
      <c r="P50" s="56"/>
      <c r="Q50" s="56"/>
      <c r="R50" s="56"/>
      <c r="S50" s="56"/>
      <c r="T50" s="56"/>
      <c r="U50" s="56"/>
      <c r="V50" s="56"/>
      <c r="W50" s="56"/>
      <c r="X50" s="56"/>
      <c r="Y50" s="56"/>
      <c r="Z50" s="56"/>
      <c r="AA50" s="56"/>
      <c r="AB50" s="56"/>
      <c r="AC50" s="56"/>
      <c r="AD50" s="56"/>
      <c r="AE50" s="56"/>
      <c r="AF50" s="56"/>
      <c r="AG50" s="56"/>
      <c r="AH50" s="57"/>
      <c r="AI50" s="1"/>
      <c r="AJ50" s="1"/>
      <c r="AK50" s="1"/>
      <c r="AL50" s="39"/>
      <c r="AM50" s="218"/>
      <c r="AN50" s="218"/>
      <c r="AO50" s="218"/>
      <c r="AP50" s="39"/>
      <c r="AQ50" s="39"/>
      <c r="AR50" s="1"/>
    </row>
    <row r="51" spans="2:44" x14ac:dyDescent="0.35">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2:44" x14ac:dyDescent="0.35">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sheetData>
  <sheetProtection algorithmName="SHA-512" hashValue="XNNxeOf7kboDybBHzAlU6tGmkT6pO2GsPiMkI7FvNxr9P865xe0GxjHrEjYW2E1FHsO7Ho1Xni0ypZ9HFZfB7A==" saltValue="eAIuhplKvM5SO+rHWwL3Zg==" spinCount="100000" sheet="1" objects="1" scenarios="1" formatCells="0" formatColumns="0" formatRows="0" insertColumns="0" insertRows="0" insertHyperlinks="0" deleteColumns="0" deleteRows="0" sort="0" autoFilter="0" pivotTables="0"/>
  <mergeCells count="51">
    <mergeCell ref="G8:N8"/>
    <mergeCell ref="T8:V8"/>
    <mergeCell ref="T7:Y7"/>
    <mergeCell ref="AM34:AO34"/>
    <mergeCell ref="AM35:AO35"/>
    <mergeCell ref="AM31:AO31"/>
    <mergeCell ref="AM32:AO32"/>
    <mergeCell ref="AM33:AO33"/>
    <mergeCell ref="AM18:AO18"/>
    <mergeCell ref="AM19:AO19"/>
    <mergeCell ref="AM20:AO20"/>
    <mergeCell ref="F25:G25"/>
    <mergeCell ref="I25:J25"/>
    <mergeCell ref="P25:R25"/>
    <mergeCell ref="L25:M25"/>
    <mergeCell ref="N25:O25"/>
    <mergeCell ref="AM49:AO49"/>
    <mergeCell ref="AM50:AO50"/>
    <mergeCell ref="AM41:AO41"/>
    <mergeCell ref="AM46:AO46"/>
    <mergeCell ref="AM47:AO47"/>
    <mergeCell ref="AM48:AO48"/>
    <mergeCell ref="AM42:AO42"/>
    <mergeCell ref="AM43:AO43"/>
    <mergeCell ref="AM44:AO44"/>
    <mergeCell ref="AM45:AO45"/>
    <mergeCell ref="AM21:AO21"/>
    <mergeCell ref="AM22:AO22"/>
    <mergeCell ref="AM23:AO23"/>
    <mergeCell ref="AM29:AO29"/>
    <mergeCell ref="AM30:AO30"/>
    <mergeCell ref="AM24:AO24"/>
    <mergeCell ref="AM13:AO13"/>
    <mergeCell ref="AM14:AO14"/>
    <mergeCell ref="AM15:AO15"/>
    <mergeCell ref="AM16:AO16"/>
    <mergeCell ref="AM17:AO17"/>
    <mergeCell ref="D7:F7"/>
    <mergeCell ref="D8:F8"/>
    <mergeCell ref="D9:F9"/>
    <mergeCell ref="D10:F10"/>
    <mergeCell ref="D11:F11"/>
    <mergeCell ref="AM40:AO40"/>
    <mergeCell ref="AM36:AO36"/>
    <mergeCell ref="AM37:AO37"/>
    <mergeCell ref="AM25:AO25"/>
    <mergeCell ref="AM26:AO26"/>
    <mergeCell ref="AM27:AO27"/>
    <mergeCell ref="AM28:AO28"/>
    <mergeCell ref="AM38:AO38"/>
    <mergeCell ref="AM39:AO39"/>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enu">
                <anchor moveWithCells="1" sizeWithCells="1">
                  <from>
                    <xdr:col>44</xdr:col>
                    <xdr:colOff>95250</xdr:colOff>
                    <xdr:row>1</xdr:row>
                    <xdr:rowOff>0</xdr:rowOff>
                  </from>
                  <to>
                    <xdr:col>45</xdr:col>
                    <xdr:colOff>311150</xdr:colOff>
                    <xdr:row>2</xdr:row>
                    <xdr:rowOff>127000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DEE84-B741-4103-81A5-94AF7B9C37CC}">
  <sheetPr codeName="Sheet2"/>
  <dimension ref="A2:EO52"/>
  <sheetViews>
    <sheetView showGridLines="0" showRowColHeaders="0" zoomScale="62" zoomScaleNormal="55" workbookViewId="0">
      <selection activeCell="AQ18" sqref="AQ18"/>
    </sheetView>
  </sheetViews>
  <sheetFormatPr defaultRowHeight="14.5" x14ac:dyDescent="0.35"/>
  <cols>
    <col min="1" max="1" width="8.7265625" style="2"/>
    <col min="2" max="2" width="3.54296875" style="2" customWidth="1"/>
    <col min="3" max="3" width="1.26953125" style="2" customWidth="1"/>
    <col min="4" max="4" width="4.1796875" style="2" customWidth="1"/>
    <col min="5" max="5" width="3.7265625" style="2" customWidth="1"/>
    <col min="6" max="6" width="8.7265625" style="2"/>
    <col min="7" max="7" width="5.6328125" style="2" customWidth="1"/>
    <col min="8" max="8" width="0.7265625" style="2" customWidth="1"/>
    <col min="9" max="9" width="4.08984375" style="2" customWidth="1"/>
    <col min="10" max="10" width="3.08984375" style="2" customWidth="1"/>
    <col min="11" max="11" width="0.54296875" style="2" customWidth="1"/>
    <col min="12" max="12" width="3.7265625" style="2" customWidth="1"/>
    <col min="13" max="13" width="8.7265625" style="2"/>
    <col min="14" max="14" width="5.90625" style="2" customWidth="1"/>
    <col min="15" max="15" width="4.7265625" style="2" customWidth="1"/>
    <col min="16" max="16" width="3.453125" style="2" customWidth="1"/>
    <col min="17" max="17" width="0.7265625" style="2" customWidth="1"/>
    <col min="18" max="18" width="3.81640625" style="2" customWidth="1"/>
    <col min="19" max="19" width="8.7265625" style="2"/>
    <col min="20" max="20" width="5.54296875" style="2" customWidth="1"/>
    <col min="21" max="21" width="0.81640625" style="2" customWidth="1"/>
    <col min="22" max="22" width="2.6328125" style="2" customWidth="1"/>
    <col min="23" max="23" width="4.6328125" style="2" customWidth="1"/>
    <col min="24" max="24" width="0.90625" style="2" customWidth="1"/>
    <col min="25" max="25" width="4.08984375" style="2" customWidth="1"/>
    <col min="26" max="26" width="8.7265625" style="2"/>
    <col min="27" max="27" width="9.1796875" style="2" customWidth="1"/>
    <col min="28" max="28" width="0.453125" style="2" customWidth="1"/>
    <col min="29" max="29" width="4.1796875" style="2" customWidth="1"/>
    <col min="30" max="30" width="0.7265625" style="2" customWidth="1"/>
    <col min="31" max="31" width="4.1796875" style="2" customWidth="1"/>
    <col min="32" max="32" width="8.7265625" style="2"/>
    <col min="33" max="33" width="3.1796875" style="2" customWidth="1"/>
    <col min="34" max="34" width="10.6328125" style="2" customWidth="1"/>
    <col min="35" max="35" width="2.90625" style="2" customWidth="1"/>
    <col min="36" max="36" width="2.1796875" style="2" customWidth="1"/>
    <col min="37" max="37" width="1.7265625" style="2" customWidth="1"/>
    <col min="38" max="43" width="8.7265625" style="2"/>
    <col min="44" max="44" width="7.6328125" style="2" customWidth="1"/>
    <col min="45" max="145" width="8.7265625" style="2"/>
  </cols>
  <sheetData>
    <row r="2" spans="2:44" x14ac:dyDescent="0.35">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3" spans="2:44" x14ac:dyDescent="0.3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row>
    <row r="4" spans="2:44" x14ac:dyDescent="0.35">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row>
    <row r="5" spans="2:44" x14ac:dyDescent="0.35">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row>
    <row r="6" spans="2:44" x14ac:dyDescent="0.35">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row>
    <row r="7" spans="2:44" x14ac:dyDescent="0.35">
      <c r="B7" s="1"/>
      <c r="C7" s="1"/>
      <c r="D7" s="222" t="s">
        <v>25</v>
      </c>
      <c r="E7" s="222"/>
      <c r="F7" s="222"/>
      <c r="G7" s="1"/>
      <c r="H7" s="1"/>
      <c r="I7" s="1"/>
      <c r="J7" s="1"/>
      <c r="K7" s="1"/>
      <c r="L7" s="1"/>
      <c r="M7" s="1"/>
      <c r="N7" s="1"/>
      <c r="O7" s="1"/>
      <c r="P7" s="1"/>
      <c r="Q7" s="1"/>
      <c r="R7" s="1"/>
      <c r="S7" s="1"/>
      <c r="T7" s="222" t="s">
        <v>31</v>
      </c>
      <c r="U7" s="222"/>
      <c r="V7" s="222"/>
      <c r="W7" s="222"/>
      <c r="X7" s="222"/>
      <c r="Y7" s="222"/>
      <c r="Z7" s="1"/>
      <c r="AA7" s="1"/>
      <c r="AB7" s="1"/>
      <c r="AC7" s="1"/>
      <c r="AD7" s="1"/>
      <c r="AE7" s="1"/>
      <c r="AF7" s="1"/>
      <c r="AG7" s="1"/>
      <c r="AH7" s="1"/>
      <c r="AI7" s="1"/>
      <c r="AJ7" s="1"/>
      <c r="AK7" s="1"/>
      <c r="AL7" s="1"/>
      <c r="AM7" s="1"/>
      <c r="AN7" s="1"/>
      <c r="AO7" s="1"/>
      <c r="AP7" s="1"/>
      <c r="AQ7" s="1"/>
      <c r="AR7" s="1"/>
    </row>
    <row r="8" spans="2:44" x14ac:dyDescent="0.35">
      <c r="B8" s="1"/>
      <c r="C8" s="1"/>
      <c r="D8" s="222" t="s">
        <v>26</v>
      </c>
      <c r="E8" s="222"/>
      <c r="F8" s="222"/>
      <c r="G8" s="224">
        <v>44785.87222222222</v>
      </c>
      <c r="H8" s="224"/>
      <c r="I8" s="224"/>
      <c r="J8" s="224"/>
      <c r="K8" s="224"/>
      <c r="L8" s="224"/>
      <c r="M8" s="224"/>
      <c r="N8" s="224"/>
      <c r="O8" s="1"/>
      <c r="P8" s="1"/>
      <c r="Q8" s="1"/>
      <c r="R8" s="1"/>
      <c r="S8" s="1"/>
      <c r="T8" s="222" t="s">
        <v>32</v>
      </c>
      <c r="U8" s="222"/>
      <c r="V8" s="222"/>
      <c r="W8" s="1"/>
      <c r="X8" s="1"/>
      <c r="Y8" s="1"/>
      <c r="Z8" s="1"/>
      <c r="AA8" s="1"/>
      <c r="AB8" s="1"/>
      <c r="AC8" s="1"/>
      <c r="AD8" s="1"/>
      <c r="AE8" s="1"/>
      <c r="AF8" s="1"/>
      <c r="AG8" s="1"/>
      <c r="AH8" s="1"/>
      <c r="AI8" s="1"/>
      <c r="AJ8" s="1"/>
      <c r="AK8" s="1"/>
      <c r="AL8" s="1"/>
      <c r="AM8" s="1"/>
      <c r="AN8" s="1"/>
      <c r="AO8" s="1"/>
      <c r="AP8" s="1"/>
      <c r="AQ8" s="1"/>
      <c r="AR8" s="1"/>
    </row>
    <row r="9" spans="2:44" x14ac:dyDescent="0.35">
      <c r="B9" s="1"/>
      <c r="C9" s="1"/>
      <c r="D9" s="222" t="s">
        <v>27</v>
      </c>
      <c r="E9" s="222"/>
      <c r="F9" s="222"/>
      <c r="G9" s="46" t="s">
        <v>29</v>
      </c>
      <c r="H9" s="46"/>
      <c r="I9" s="46"/>
      <c r="J9" s="46"/>
      <c r="K9" s="46"/>
      <c r="L9" s="46"/>
      <c r="M9" s="46"/>
      <c r="N9" s="46"/>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row>
    <row r="10" spans="2:44" x14ac:dyDescent="0.35">
      <c r="B10" s="1"/>
      <c r="C10" s="1"/>
      <c r="D10" s="222" t="s">
        <v>28</v>
      </c>
      <c r="E10" s="222"/>
      <c r="F10" s="222"/>
      <c r="G10" s="46" t="s">
        <v>30</v>
      </c>
      <c r="H10" s="46"/>
      <c r="I10" s="46"/>
      <c r="J10" s="46"/>
      <c r="K10" s="46"/>
      <c r="L10" s="46"/>
      <c r="M10" s="46"/>
      <c r="N10" s="46"/>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row>
    <row r="11" spans="2:44" x14ac:dyDescent="0.35">
      <c r="B11" s="1"/>
      <c r="C11" s="1"/>
      <c r="D11" s="222"/>
      <c r="E11" s="222"/>
      <c r="F11" s="222"/>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row>
    <row r="12" spans="2:44" x14ac:dyDescent="0.35">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row>
    <row r="13" spans="2:44" x14ac:dyDescent="0.35">
      <c r="B13" s="1"/>
      <c r="C13" s="1"/>
      <c r="D13" s="1"/>
      <c r="E13" s="24"/>
      <c r="F13" s="45" t="s">
        <v>0</v>
      </c>
      <c r="G13" s="20"/>
      <c r="H13" s="20"/>
      <c r="I13" s="20"/>
      <c r="J13" s="21"/>
      <c r="K13" s="19"/>
      <c r="L13" s="27"/>
      <c r="M13" s="44" t="s">
        <v>3</v>
      </c>
      <c r="N13" s="20"/>
      <c r="O13" s="20"/>
      <c r="P13" s="21"/>
      <c r="Q13" s="22"/>
      <c r="R13" s="30"/>
      <c r="S13" s="45" t="s">
        <v>6</v>
      </c>
      <c r="T13" s="20"/>
      <c r="U13" s="20"/>
      <c r="V13" s="20"/>
      <c r="W13" s="21"/>
      <c r="X13" s="1"/>
      <c r="Y13" s="33"/>
      <c r="Z13" s="45" t="s">
        <v>9</v>
      </c>
      <c r="AA13" s="20"/>
      <c r="AB13" s="20"/>
      <c r="AC13" s="21"/>
      <c r="AD13" s="23"/>
      <c r="AE13" s="36"/>
      <c r="AF13" s="44" t="s">
        <v>12</v>
      </c>
      <c r="AG13" s="20"/>
      <c r="AH13" s="21"/>
      <c r="AI13" s="1"/>
      <c r="AJ13" s="1"/>
      <c r="AK13" s="1"/>
      <c r="AL13" s="42" t="s">
        <v>21</v>
      </c>
      <c r="AM13" s="223" t="s">
        <v>22</v>
      </c>
      <c r="AN13" s="223"/>
      <c r="AO13" s="223"/>
      <c r="AP13" s="42" t="s">
        <v>23</v>
      </c>
      <c r="AQ13" s="43" t="s">
        <v>24</v>
      </c>
      <c r="AR13" s="38"/>
    </row>
    <row r="14" spans="2:44" ht="17.5" customHeight="1" x14ac:dyDescent="0.35">
      <c r="B14" s="1"/>
      <c r="C14" s="1"/>
      <c r="D14" s="1"/>
      <c r="E14" s="25"/>
      <c r="F14" s="45" t="s">
        <v>1</v>
      </c>
      <c r="G14" s="20"/>
      <c r="H14" s="20"/>
      <c r="I14" s="20"/>
      <c r="J14" s="21"/>
      <c r="K14" s="19"/>
      <c r="L14" s="28"/>
      <c r="M14" s="44" t="s">
        <v>4</v>
      </c>
      <c r="N14" s="20"/>
      <c r="O14" s="20"/>
      <c r="P14" s="21"/>
      <c r="Q14" s="22"/>
      <c r="R14" s="31"/>
      <c r="S14" s="45" t="s">
        <v>7</v>
      </c>
      <c r="T14" s="20"/>
      <c r="U14" s="20"/>
      <c r="V14" s="20"/>
      <c r="W14" s="21"/>
      <c r="X14" s="1"/>
      <c r="Y14" s="34"/>
      <c r="Z14" s="45" t="s">
        <v>10</v>
      </c>
      <c r="AA14" s="20"/>
      <c r="AB14" s="20"/>
      <c r="AC14" s="21"/>
      <c r="AD14" s="23"/>
      <c r="AE14" s="37"/>
      <c r="AF14" s="44" t="s">
        <v>13</v>
      </c>
      <c r="AG14" s="20"/>
      <c r="AH14" s="21"/>
      <c r="AI14" s="1"/>
      <c r="AJ14" s="1"/>
      <c r="AK14" s="1"/>
      <c r="AL14" s="40"/>
      <c r="AM14" s="218"/>
      <c r="AN14" s="218"/>
      <c r="AO14" s="218"/>
      <c r="AP14" s="40"/>
      <c r="AQ14" s="40"/>
      <c r="AR14" s="38"/>
    </row>
    <row r="15" spans="2:44" x14ac:dyDescent="0.35">
      <c r="B15" s="1"/>
      <c r="C15" s="1"/>
      <c r="D15" s="1"/>
      <c r="E15" s="26"/>
      <c r="F15" s="45" t="s">
        <v>2</v>
      </c>
      <c r="G15" s="20"/>
      <c r="H15" s="20"/>
      <c r="I15" s="20"/>
      <c r="J15" s="21"/>
      <c r="K15" s="19"/>
      <c r="L15" s="29"/>
      <c r="M15" s="44" t="s">
        <v>5</v>
      </c>
      <c r="N15" s="20"/>
      <c r="O15" s="20"/>
      <c r="P15" s="21"/>
      <c r="Q15" s="22"/>
      <c r="R15" s="32"/>
      <c r="S15" s="45" t="s">
        <v>8</v>
      </c>
      <c r="T15" s="20"/>
      <c r="U15" s="20"/>
      <c r="V15" s="20"/>
      <c r="W15" s="21"/>
      <c r="X15" s="1"/>
      <c r="Y15" s="35"/>
      <c r="Z15" s="45" t="s">
        <v>11</v>
      </c>
      <c r="AA15" s="20"/>
      <c r="AB15" s="20"/>
      <c r="AC15" s="21"/>
      <c r="AD15" s="23"/>
      <c r="AE15" s="1"/>
      <c r="AF15" s="1"/>
      <c r="AG15" s="1"/>
      <c r="AH15" s="1"/>
      <c r="AI15" s="1"/>
      <c r="AJ15" s="1"/>
      <c r="AK15" s="1"/>
      <c r="AL15" s="40"/>
      <c r="AM15" s="218"/>
      <c r="AN15" s="218"/>
      <c r="AO15" s="218"/>
      <c r="AP15" s="40"/>
      <c r="AQ15" s="40"/>
      <c r="AR15" s="38"/>
    </row>
    <row r="16" spans="2:44" x14ac:dyDescent="0.35">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40"/>
      <c r="AM16" s="218"/>
      <c r="AN16" s="218"/>
      <c r="AO16" s="218"/>
      <c r="AP16" s="40"/>
      <c r="AQ16" s="40"/>
      <c r="AR16" s="38"/>
    </row>
    <row r="17" spans="2:44" x14ac:dyDescent="0.35">
      <c r="B17" s="1"/>
      <c r="C17" s="1"/>
      <c r="D17" s="1"/>
      <c r="E17" s="47"/>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9"/>
      <c r="AI17" s="1"/>
      <c r="AJ17" s="1"/>
      <c r="AK17" s="1"/>
      <c r="AL17" s="40"/>
      <c r="AM17" s="218"/>
      <c r="AN17" s="218"/>
      <c r="AO17" s="218"/>
      <c r="AP17" s="40"/>
      <c r="AQ17" s="40"/>
      <c r="AR17" s="38"/>
    </row>
    <row r="18" spans="2:44" x14ac:dyDescent="0.35">
      <c r="B18" s="1"/>
      <c r="C18" s="1"/>
      <c r="D18" s="1"/>
      <c r="E18" s="50"/>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51"/>
      <c r="AI18" s="1"/>
      <c r="AJ18" s="1"/>
      <c r="AK18" s="1"/>
      <c r="AL18" s="40"/>
      <c r="AM18" s="218"/>
      <c r="AN18" s="218"/>
      <c r="AO18" s="218"/>
      <c r="AP18" s="40"/>
      <c r="AQ18" s="40"/>
      <c r="AR18" s="38"/>
    </row>
    <row r="19" spans="2:44" x14ac:dyDescent="0.35">
      <c r="B19" s="1"/>
      <c r="C19" s="1"/>
      <c r="D19" s="1"/>
      <c r="E19" s="50"/>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51"/>
      <c r="AI19" s="1"/>
      <c r="AJ19" s="1"/>
      <c r="AK19" s="1"/>
      <c r="AL19" s="40"/>
      <c r="AM19" s="218"/>
      <c r="AN19" s="218"/>
      <c r="AO19" s="218"/>
      <c r="AP19" s="40"/>
      <c r="AQ19" s="40"/>
      <c r="AR19" s="38"/>
    </row>
    <row r="20" spans="2:44" x14ac:dyDescent="0.35">
      <c r="B20" s="1"/>
      <c r="C20" s="1"/>
      <c r="D20" s="1"/>
      <c r="E20" s="50"/>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51"/>
      <c r="AI20" s="1"/>
      <c r="AJ20" s="1"/>
      <c r="AK20" s="1"/>
      <c r="AL20" s="40"/>
      <c r="AM20" s="218"/>
      <c r="AN20" s="218"/>
      <c r="AO20" s="218"/>
      <c r="AP20" s="40"/>
      <c r="AQ20" s="40"/>
      <c r="AR20" s="38"/>
    </row>
    <row r="21" spans="2:44" x14ac:dyDescent="0.35">
      <c r="B21" s="1"/>
      <c r="C21" s="1"/>
      <c r="D21" s="1"/>
      <c r="E21" s="50"/>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51"/>
      <c r="AI21" s="1"/>
      <c r="AJ21" s="1"/>
      <c r="AK21" s="1"/>
      <c r="AL21" s="40"/>
      <c r="AM21" s="218"/>
      <c r="AN21" s="218"/>
      <c r="AO21" s="218"/>
      <c r="AP21" s="40"/>
      <c r="AQ21" s="40"/>
      <c r="AR21" s="38"/>
    </row>
    <row r="22" spans="2:44" x14ac:dyDescent="0.35">
      <c r="B22" s="1"/>
      <c r="C22" s="1"/>
      <c r="D22" s="1"/>
      <c r="E22" s="50"/>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51"/>
      <c r="AI22" s="1"/>
      <c r="AJ22" s="1"/>
      <c r="AK22" s="1"/>
      <c r="AL22" s="40"/>
      <c r="AM22" s="218"/>
      <c r="AN22" s="218"/>
      <c r="AO22" s="218"/>
      <c r="AP22" s="40"/>
      <c r="AQ22" s="40"/>
      <c r="AR22" s="38"/>
    </row>
    <row r="23" spans="2:44" x14ac:dyDescent="0.35">
      <c r="B23" s="1"/>
      <c r="C23" s="1"/>
      <c r="D23" s="1"/>
      <c r="E23" s="50"/>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51"/>
      <c r="AI23" s="1"/>
      <c r="AJ23" s="1"/>
      <c r="AK23" s="1"/>
      <c r="AL23" s="40"/>
      <c r="AM23" s="218"/>
      <c r="AN23" s="218"/>
      <c r="AO23" s="218"/>
      <c r="AP23" s="40"/>
      <c r="AQ23" s="40"/>
      <c r="AR23" s="38"/>
    </row>
    <row r="24" spans="2:44" x14ac:dyDescent="0.35">
      <c r="B24" s="1"/>
      <c r="C24" s="1"/>
      <c r="D24" s="1"/>
      <c r="E24" s="50"/>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51"/>
      <c r="AI24" s="1"/>
      <c r="AJ24" s="1"/>
      <c r="AK24" s="1"/>
      <c r="AL24" s="40"/>
      <c r="AM24" s="218"/>
      <c r="AN24" s="218"/>
      <c r="AO24" s="218"/>
      <c r="AP24" s="40"/>
      <c r="AQ24" s="40"/>
      <c r="AR24" s="38"/>
    </row>
    <row r="25" spans="2:44" ht="18.5" x14ac:dyDescent="0.35">
      <c r="B25" s="1"/>
      <c r="C25" s="1"/>
      <c r="D25" s="1"/>
      <c r="E25" s="52"/>
      <c r="F25" s="225"/>
      <c r="G25" s="225"/>
      <c r="H25" s="53"/>
      <c r="I25" s="226"/>
      <c r="J25" s="226"/>
      <c r="K25" s="54"/>
      <c r="L25" s="226"/>
      <c r="M25" s="226"/>
      <c r="N25" s="225"/>
      <c r="O25" s="225"/>
      <c r="P25" s="225"/>
      <c r="Q25" s="225"/>
      <c r="R25" s="225"/>
      <c r="S25" s="19"/>
      <c r="T25" s="19"/>
      <c r="U25" s="19"/>
      <c r="V25" s="19"/>
      <c r="W25" s="19"/>
      <c r="X25" s="19"/>
      <c r="Y25" s="19"/>
      <c r="Z25" s="19"/>
      <c r="AA25" s="19"/>
      <c r="AB25" s="19"/>
      <c r="AC25" s="19"/>
      <c r="AD25" s="19"/>
      <c r="AE25" s="19"/>
      <c r="AF25" s="19"/>
      <c r="AG25" s="19"/>
      <c r="AH25" s="51"/>
      <c r="AI25" s="1"/>
      <c r="AJ25" s="1"/>
      <c r="AK25" s="1"/>
      <c r="AL25" s="40"/>
      <c r="AM25" s="218"/>
      <c r="AN25" s="218"/>
      <c r="AO25" s="218"/>
      <c r="AP25" s="40"/>
      <c r="AQ25" s="40"/>
      <c r="AR25" s="38"/>
    </row>
    <row r="26" spans="2:44" x14ac:dyDescent="0.35">
      <c r="B26" s="1"/>
      <c r="C26" s="1"/>
      <c r="D26" s="1"/>
      <c r="E26" s="50"/>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51"/>
      <c r="AI26" s="1"/>
      <c r="AJ26" s="1"/>
      <c r="AK26" s="1"/>
      <c r="AL26" s="40"/>
      <c r="AM26" s="218"/>
      <c r="AN26" s="218"/>
      <c r="AO26" s="218"/>
      <c r="AP26" s="40"/>
      <c r="AQ26" s="40"/>
      <c r="AR26" s="38"/>
    </row>
    <row r="27" spans="2:44" x14ac:dyDescent="0.35">
      <c r="B27" s="1"/>
      <c r="C27" s="1"/>
      <c r="D27" s="1"/>
      <c r="E27" s="50"/>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51"/>
      <c r="AI27" s="1"/>
      <c r="AJ27" s="1"/>
      <c r="AK27" s="1"/>
      <c r="AL27" s="40"/>
      <c r="AM27" s="218"/>
      <c r="AN27" s="218"/>
      <c r="AO27" s="218"/>
      <c r="AP27" s="40"/>
      <c r="AQ27" s="40"/>
      <c r="AR27" s="38"/>
    </row>
    <row r="28" spans="2:44" x14ac:dyDescent="0.35">
      <c r="B28" s="1"/>
      <c r="C28" s="1"/>
      <c r="D28" s="1"/>
      <c r="E28" s="50"/>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51"/>
      <c r="AI28" s="1"/>
      <c r="AJ28" s="1"/>
      <c r="AK28" s="1"/>
      <c r="AL28" s="40"/>
      <c r="AM28" s="218"/>
      <c r="AN28" s="218"/>
      <c r="AO28" s="218"/>
      <c r="AP28" s="40"/>
      <c r="AQ28" s="40"/>
      <c r="AR28" s="38"/>
    </row>
    <row r="29" spans="2:44" x14ac:dyDescent="0.35">
      <c r="B29" s="1"/>
      <c r="C29" s="1"/>
      <c r="D29" s="1"/>
      <c r="E29" s="50"/>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51"/>
      <c r="AI29" s="1"/>
      <c r="AJ29" s="1"/>
      <c r="AK29" s="1"/>
      <c r="AL29" s="40"/>
      <c r="AM29" s="218"/>
      <c r="AN29" s="218"/>
      <c r="AO29" s="218"/>
      <c r="AP29" s="40"/>
      <c r="AQ29" s="40"/>
      <c r="AR29" s="38"/>
    </row>
    <row r="30" spans="2:44" x14ac:dyDescent="0.35">
      <c r="B30" s="1"/>
      <c r="C30" s="1"/>
      <c r="D30" s="1"/>
      <c r="E30" s="50"/>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51"/>
      <c r="AI30" s="1"/>
      <c r="AJ30" s="1"/>
      <c r="AK30" s="1"/>
      <c r="AL30" s="40"/>
      <c r="AM30" s="218"/>
      <c r="AN30" s="218"/>
      <c r="AO30" s="218"/>
      <c r="AP30" s="40"/>
      <c r="AQ30" s="40"/>
      <c r="AR30" s="38"/>
    </row>
    <row r="31" spans="2:44" x14ac:dyDescent="0.35">
      <c r="B31" s="1"/>
      <c r="C31" s="1"/>
      <c r="D31" s="1"/>
      <c r="E31" s="50"/>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51"/>
      <c r="AI31" s="1"/>
      <c r="AJ31" s="1"/>
      <c r="AK31" s="1"/>
      <c r="AL31" s="40"/>
      <c r="AM31" s="218"/>
      <c r="AN31" s="218"/>
      <c r="AO31" s="218"/>
      <c r="AP31" s="40"/>
      <c r="AQ31" s="40"/>
      <c r="AR31" s="38"/>
    </row>
    <row r="32" spans="2:44" x14ac:dyDescent="0.35">
      <c r="B32" s="1"/>
      <c r="C32" s="1"/>
      <c r="D32" s="1"/>
      <c r="E32" s="50"/>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51"/>
      <c r="AI32" s="1"/>
      <c r="AJ32" s="1"/>
      <c r="AK32" s="1"/>
      <c r="AL32" s="40"/>
      <c r="AM32" s="218"/>
      <c r="AN32" s="218"/>
      <c r="AO32" s="218"/>
      <c r="AP32" s="40"/>
      <c r="AQ32" s="40"/>
      <c r="AR32" s="38"/>
    </row>
    <row r="33" spans="2:44" x14ac:dyDescent="0.35">
      <c r="B33" s="1"/>
      <c r="C33" s="1"/>
      <c r="D33" s="1"/>
      <c r="E33" s="50"/>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51"/>
      <c r="AI33" s="1"/>
      <c r="AJ33" s="1"/>
      <c r="AK33" s="1"/>
      <c r="AL33" s="40"/>
      <c r="AM33" s="218"/>
      <c r="AN33" s="218"/>
      <c r="AO33" s="218"/>
      <c r="AP33" s="40"/>
      <c r="AQ33" s="40"/>
      <c r="AR33" s="38"/>
    </row>
    <row r="34" spans="2:44" x14ac:dyDescent="0.35">
      <c r="B34" s="1"/>
      <c r="C34" s="1"/>
      <c r="D34" s="1"/>
      <c r="E34" s="50"/>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51"/>
      <c r="AI34" s="1"/>
      <c r="AJ34" s="1"/>
      <c r="AK34" s="1"/>
      <c r="AL34" s="40"/>
      <c r="AM34" s="218"/>
      <c r="AN34" s="218"/>
      <c r="AO34" s="218"/>
      <c r="AP34" s="40"/>
      <c r="AQ34" s="40"/>
      <c r="AR34" s="38"/>
    </row>
    <row r="35" spans="2:44" x14ac:dyDescent="0.35">
      <c r="B35" s="1"/>
      <c r="C35" s="1"/>
      <c r="D35" s="1"/>
      <c r="E35" s="50"/>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51"/>
      <c r="AI35" s="1"/>
      <c r="AJ35" s="1"/>
      <c r="AK35" s="1"/>
      <c r="AL35" s="40"/>
      <c r="AM35" s="218"/>
      <c r="AN35" s="218"/>
      <c r="AO35" s="218"/>
      <c r="AP35" s="40"/>
      <c r="AQ35" s="40"/>
      <c r="AR35" s="38"/>
    </row>
    <row r="36" spans="2:44" x14ac:dyDescent="0.35">
      <c r="B36" s="1"/>
      <c r="C36" s="1"/>
      <c r="D36" s="1"/>
      <c r="E36" s="50"/>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51"/>
      <c r="AI36" s="1"/>
      <c r="AJ36" s="1"/>
      <c r="AK36" s="1"/>
      <c r="AL36" s="40"/>
      <c r="AM36" s="218"/>
      <c r="AN36" s="218"/>
      <c r="AO36" s="218"/>
      <c r="AP36" s="40"/>
      <c r="AQ36" s="40"/>
      <c r="AR36" s="38"/>
    </row>
    <row r="37" spans="2:44" x14ac:dyDescent="0.35">
      <c r="B37" s="1"/>
      <c r="C37" s="1"/>
      <c r="D37" s="1"/>
      <c r="E37" s="50"/>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51"/>
      <c r="AI37" s="1"/>
      <c r="AJ37" s="1"/>
      <c r="AK37" s="1"/>
      <c r="AL37" s="40"/>
      <c r="AM37" s="219"/>
      <c r="AN37" s="220"/>
      <c r="AO37" s="221"/>
      <c r="AP37" s="40"/>
      <c r="AQ37" s="40"/>
      <c r="AR37" s="38"/>
    </row>
    <row r="38" spans="2:44" x14ac:dyDescent="0.35">
      <c r="B38" s="1"/>
      <c r="C38" s="1"/>
      <c r="D38" s="1"/>
      <c r="E38" s="50"/>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51"/>
      <c r="AI38" s="1"/>
      <c r="AJ38" s="1"/>
      <c r="AK38" s="1"/>
      <c r="AL38" s="40"/>
      <c r="AM38" s="218"/>
      <c r="AN38" s="218"/>
      <c r="AO38" s="218"/>
      <c r="AP38" s="40"/>
      <c r="AQ38" s="40"/>
      <c r="AR38" s="38"/>
    </row>
    <row r="39" spans="2:44" x14ac:dyDescent="0.35">
      <c r="B39" s="1"/>
      <c r="C39" s="1"/>
      <c r="D39" s="1"/>
      <c r="E39" s="50"/>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51"/>
      <c r="AI39" s="1"/>
      <c r="AJ39" s="1"/>
      <c r="AK39" s="1"/>
      <c r="AL39" s="40"/>
      <c r="AM39" s="218"/>
      <c r="AN39" s="218"/>
      <c r="AO39" s="218"/>
      <c r="AP39" s="40"/>
      <c r="AQ39" s="40"/>
      <c r="AR39" s="38"/>
    </row>
    <row r="40" spans="2:44" x14ac:dyDescent="0.35">
      <c r="B40" s="1"/>
      <c r="C40" s="1"/>
      <c r="D40" s="1"/>
      <c r="E40" s="50"/>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51"/>
      <c r="AI40" s="1"/>
      <c r="AJ40" s="1"/>
      <c r="AK40" s="1"/>
      <c r="AL40" s="40"/>
      <c r="AM40" s="218"/>
      <c r="AN40" s="218"/>
      <c r="AO40" s="218"/>
      <c r="AP40" s="40"/>
      <c r="AQ40" s="40"/>
      <c r="AR40" s="38"/>
    </row>
    <row r="41" spans="2:44" x14ac:dyDescent="0.35">
      <c r="B41" s="1"/>
      <c r="C41" s="1"/>
      <c r="D41" s="1"/>
      <c r="E41" s="50"/>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51"/>
      <c r="AI41" s="1"/>
      <c r="AJ41" s="1"/>
      <c r="AK41" s="1"/>
      <c r="AL41" s="40"/>
      <c r="AM41" s="218"/>
      <c r="AN41" s="218"/>
      <c r="AO41" s="218"/>
      <c r="AP41" s="40"/>
      <c r="AQ41" s="40"/>
      <c r="AR41" s="38"/>
    </row>
    <row r="42" spans="2:44" x14ac:dyDescent="0.35">
      <c r="B42" s="1"/>
      <c r="C42" s="1"/>
      <c r="D42" s="1"/>
      <c r="E42" s="50"/>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51"/>
      <c r="AI42" s="1"/>
      <c r="AJ42" s="1"/>
      <c r="AK42" s="1"/>
      <c r="AL42" s="40"/>
      <c r="AM42" s="218"/>
      <c r="AN42" s="218"/>
      <c r="AO42" s="218"/>
      <c r="AP42" s="40"/>
      <c r="AQ42" s="40"/>
      <c r="AR42" s="38"/>
    </row>
    <row r="43" spans="2:44" x14ac:dyDescent="0.35">
      <c r="B43" s="1"/>
      <c r="C43" s="1"/>
      <c r="D43" s="1"/>
      <c r="E43" s="50"/>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51"/>
      <c r="AI43" s="1"/>
      <c r="AJ43" s="1"/>
      <c r="AK43" s="1"/>
      <c r="AL43" s="40"/>
      <c r="AM43" s="218"/>
      <c r="AN43" s="218"/>
      <c r="AO43" s="218"/>
      <c r="AP43" s="40"/>
      <c r="AQ43" s="40"/>
      <c r="AR43" s="1"/>
    </row>
    <row r="44" spans="2:44" x14ac:dyDescent="0.35">
      <c r="B44" s="1"/>
      <c r="C44" s="1"/>
      <c r="D44" s="1"/>
      <c r="E44" s="50"/>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51"/>
      <c r="AI44" s="1"/>
      <c r="AJ44" s="1"/>
      <c r="AK44" s="1"/>
      <c r="AL44" s="40"/>
      <c r="AM44" s="218"/>
      <c r="AN44" s="218"/>
      <c r="AO44" s="218"/>
      <c r="AP44" s="40"/>
      <c r="AQ44" s="40"/>
      <c r="AR44" s="1"/>
    </row>
    <row r="45" spans="2:44" x14ac:dyDescent="0.35">
      <c r="B45" s="1"/>
      <c r="C45" s="1"/>
      <c r="D45" s="1"/>
      <c r="E45" s="50"/>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51"/>
      <c r="AI45" s="1"/>
      <c r="AJ45" s="1"/>
      <c r="AK45" s="1"/>
      <c r="AL45" s="40"/>
      <c r="AM45" s="218"/>
      <c r="AN45" s="218"/>
      <c r="AO45" s="218"/>
      <c r="AP45" s="40"/>
      <c r="AQ45" s="40"/>
      <c r="AR45" s="1"/>
    </row>
    <row r="46" spans="2:44" x14ac:dyDescent="0.35">
      <c r="B46" s="1"/>
      <c r="C46" s="1"/>
      <c r="D46" s="1"/>
      <c r="E46" s="50"/>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51"/>
      <c r="AI46" s="1"/>
      <c r="AJ46" s="1"/>
      <c r="AK46" s="1"/>
      <c r="AL46" s="40"/>
      <c r="AM46" s="218"/>
      <c r="AN46" s="218"/>
      <c r="AO46" s="218"/>
      <c r="AP46" s="40"/>
      <c r="AQ46" s="40"/>
      <c r="AR46" s="38"/>
    </row>
    <row r="47" spans="2:44" x14ac:dyDescent="0.35">
      <c r="B47" s="1"/>
      <c r="C47" s="1"/>
      <c r="D47" s="1"/>
      <c r="E47" s="50"/>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51"/>
      <c r="AI47" s="1"/>
      <c r="AJ47" s="1"/>
      <c r="AK47" s="1"/>
      <c r="AL47" s="40"/>
      <c r="AM47" s="218"/>
      <c r="AN47" s="218"/>
      <c r="AO47" s="218"/>
      <c r="AP47" s="40"/>
      <c r="AQ47" s="40"/>
      <c r="AR47" s="1"/>
    </row>
    <row r="48" spans="2:44" x14ac:dyDescent="0.35">
      <c r="B48" s="1"/>
      <c r="C48" s="1"/>
      <c r="D48" s="1"/>
      <c r="E48" s="50"/>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51"/>
      <c r="AI48" s="1"/>
      <c r="AJ48" s="1"/>
      <c r="AK48" s="1"/>
      <c r="AL48" s="40"/>
      <c r="AM48" s="218"/>
      <c r="AN48" s="218"/>
      <c r="AO48" s="218"/>
      <c r="AP48" s="40"/>
      <c r="AQ48" s="40"/>
      <c r="AR48" s="1"/>
    </row>
    <row r="49" spans="2:44" x14ac:dyDescent="0.35">
      <c r="B49" s="1"/>
      <c r="C49" s="1"/>
      <c r="D49" s="1"/>
      <c r="E49" s="50"/>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51"/>
      <c r="AI49" s="1"/>
      <c r="AJ49" s="1"/>
      <c r="AK49" s="1"/>
      <c r="AL49" s="40"/>
      <c r="AM49" s="218"/>
      <c r="AN49" s="218"/>
      <c r="AO49" s="218"/>
      <c r="AP49" s="40"/>
      <c r="AQ49" s="40"/>
      <c r="AR49" s="1"/>
    </row>
    <row r="50" spans="2:44" x14ac:dyDescent="0.35">
      <c r="B50" s="1"/>
      <c r="C50" s="1"/>
      <c r="D50" s="1"/>
      <c r="E50" s="55"/>
      <c r="F50" s="56"/>
      <c r="G50" s="56"/>
      <c r="H50" s="56"/>
      <c r="I50" s="56"/>
      <c r="J50" s="56"/>
      <c r="K50" s="56"/>
      <c r="L50" s="56"/>
      <c r="M50" s="56"/>
      <c r="N50" s="56"/>
      <c r="O50" s="56"/>
      <c r="P50" s="56"/>
      <c r="Q50" s="56"/>
      <c r="R50" s="56"/>
      <c r="S50" s="56"/>
      <c r="T50" s="56"/>
      <c r="U50" s="56"/>
      <c r="V50" s="56"/>
      <c r="W50" s="56"/>
      <c r="X50" s="56"/>
      <c r="Y50" s="56"/>
      <c r="Z50" s="56"/>
      <c r="AA50" s="56"/>
      <c r="AB50" s="56"/>
      <c r="AC50" s="56"/>
      <c r="AD50" s="56"/>
      <c r="AE50" s="56"/>
      <c r="AF50" s="56"/>
      <c r="AG50" s="56"/>
      <c r="AH50" s="57"/>
      <c r="AI50" s="1"/>
      <c r="AJ50" s="1"/>
      <c r="AK50" s="1"/>
      <c r="AL50" s="40"/>
      <c r="AM50" s="218"/>
      <c r="AN50" s="218"/>
      <c r="AO50" s="218"/>
      <c r="AP50" s="40"/>
      <c r="AQ50" s="40"/>
      <c r="AR50" s="1"/>
    </row>
    <row r="51" spans="2:44" x14ac:dyDescent="0.35">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2:44" x14ac:dyDescent="0.35">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sheetData>
  <sheetProtection algorithmName="SHA-512" hashValue="SNO9DZwr5aurC41eYxPbCoAVcrzBAMUedM3/QksKbfUyPhzWuz0jy5PWt9U5XW0GGV72v3qOwBqd9cgaNLLvaw==" saltValue="5fxMcwr8z2BCWSs4CC4tFA==" spinCount="100000" sheet="1" objects="1" scenarios="1" formatCells="0" formatColumns="0" formatRows="0" insertColumns="0" insertRows="0" insertHyperlinks="0" deleteColumns="0" deleteRows="0" sort="0" autoFilter="0" pivotTables="0"/>
  <mergeCells count="51">
    <mergeCell ref="D9:F9"/>
    <mergeCell ref="D7:F7"/>
    <mergeCell ref="T7:Y7"/>
    <mergeCell ref="D8:F8"/>
    <mergeCell ref="G8:N8"/>
    <mergeCell ref="T8:V8"/>
    <mergeCell ref="AM22:AO22"/>
    <mergeCell ref="D10:F10"/>
    <mergeCell ref="D11:F11"/>
    <mergeCell ref="AM13:AO13"/>
    <mergeCell ref="AM14:AO14"/>
    <mergeCell ref="AM15:AO15"/>
    <mergeCell ref="AM16:AO16"/>
    <mergeCell ref="AM17:AO17"/>
    <mergeCell ref="AM18:AO18"/>
    <mergeCell ref="AM19:AO19"/>
    <mergeCell ref="AM20:AO20"/>
    <mergeCell ref="AM21:AO21"/>
    <mergeCell ref="AM31:AO31"/>
    <mergeCell ref="AM23:AO23"/>
    <mergeCell ref="AM24:AO24"/>
    <mergeCell ref="F25:G25"/>
    <mergeCell ref="I25:J25"/>
    <mergeCell ref="L25:M25"/>
    <mergeCell ref="N25:O25"/>
    <mergeCell ref="P25:R25"/>
    <mergeCell ref="AM25:AO25"/>
    <mergeCell ref="AM26:AO26"/>
    <mergeCell ref="AM27:AO27"/>
    <mergeCell ref="AM28:AO28"/>
    <mergeCell ref="AM29:AO29"/>
    <mergeCell ref="AM30:AO30"/>
    <mergeCell ref="AM43:AO43"/>
    <mergeCell ref="AM32:AO32"/>
    <mergeCell ref="AM33:AO33"/>
    <mergeCell ref="AM34:AO34"/>
    <mergeCell ref="AM35:AO35"/>
    <mergeCell ref="AM36:AO36"/>
    <mergeCell ref="AM37:AO37"/>
    <mergeCell ref="AM38:AO38"/>
    <mergeCell ref="AM39:AO39"/>
    <mergeCell ref="AM40:AO40"/>
    <mergeCell ref="AM41:AO41"/>
    <mergeCell ref="AM42:AO42"/>
    <mergeCell ref="AM50:AO50"/>
    <mergeCell ref="AM44:AO44"/>
    <mergeCell ref="AM45:AO45"/>
    <mergeCell ref="AM46:AO46"/>
    <mergeCell ref="AM47:AO47"/>
    <mergeCell ref="AM48:AO48"/>
    <mergeCell ref="AM49:AO49"/>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enu">
                <anchor moveWithCells="1" sizeWithCells="1">
                  <from>
                    <xdr:col>44</xdr:col>
                    <xdr:colOff>63500</xdr:colOff>
                    <xdr:row>1</xdr:row>
                    <xdr:rowOff>0</xdr:rowOff>
                  </from>
                  <to>
                    <xdr:col>45</xdr:col>
                    <xdr:colOff>279400</xdr:colOff>
                    <xdr:row>2</xdr:row>
                    <xdr:rowOff>127000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3BA1-1819-40A2-9564-4DB038A9345C}">
  <dimension ref="B5:L20"/>
  <sheetViews>
    <sheetView workbookViewId="0">
      <selection activeCell="G8" sqref="G8"/>
    </sheetView>
  </sheetViews>
  <sheetFormatPr defaultRowHeight="14.5" x14ac:dyDescent="0.35"/>
  <sheetData>
    <row r="5" spans="2:12" x14ac:dyDescent="0.35">
      <c r="B5" t="s">
        <v>112</v>
      </c>
    </row>
    <row r="6" spans="2:12" x14ac:dyDescent="0.35">
      <c r="C6" s="110" t="s">
        <v>113</v>
      </c>
      <c r="D6" s="110">
        <v>19168</v>
      </c>
    </row>
    <row r="7" spans="2:12" x14ac:dyDescent="0.35">
      <c r="C7" s="110" t="s">
        <v>114</v>
      </c>
      <c r="D7" s="110">
        <v>13933</v>
      </c>
    </row>
    <row r="8" spans="2:12" x14ac:dyDescent="0.35">
      <c r="C8" s="110" t="s">
        <v>115</v>
      </c>
      <c r="D8" s="110">
        <v>8599</v>
      </c>
    </row>
    <row r="9" spans="2:12" x14ac:dyDescent="0.35">
      <c r="C9" s="110" t="s">
        <v>116</v>
      </c>
      <c r="D9" s="110">
        <v>2617</v>
      </c>
    </row>
    <row r="10" spans="2:12" x14ac:dyDescent="0.35">
      <c r="C10" s="110" t="s">
        <v>117</v>
      </c>
      <c r="D10" s="110">
        <v>2230</v>
      </c>
    </row>
    <row r="11" spans="2:12" x14ac:dyDescent="0.35">
      <c r="C11" s="110" t="s">
        <v>118</v>
      </c>
      <c r="D11" s="110">
        <v>437</v>
      </c>
    </row>
    <row r="12" spans="2:12" x14ac:dyDescent="0.35">
      <c r="C12" s="110" t="s">
        <v>119</v>
      </c>
      <c r="D12" s="110">
        <v>0</v>
      </c>
    </row>
    <row r="15" spans="2:12" x14ac:dyDescent="0.35">
      <c r="B15" t="s">
        <v>120</v>
      </c>
      <c r="C15" s="110" t="s">
        <v>123</v>
      </c>
      <c r="D15" s="110">
        <v>6528</v>
      </c>
      <c r="F15" t="s">
        <v>121</v>
      </c>
      <c r="G15" s="110" t="s">
        <v>127</v>
      </c>
      <c r="H15" s="110">
        <v>4957</v>
      </c>
      <c r="J15" t="s">
        <v>122</v>
      </c>
      <c r="K15" s="110" t="s">
        <v>132</v>
      </c>
      <c r="L15" s="110">
        <v>3629</v>
      </c>
    </row>
    <row r="16" spans="2:12" x14ac:dyDescent="0.35">
      <c r="C16" s="110" t="s">
        <v>124</v>
      </c>
      <c r="D16" s="110">
        <v>6168</v>
      </c>
      <c r="G16" s="110" t="s">
        <v>128</v>
      </c>
      <c r="H16" s="110">
        <v>3518</v>
      </c>
      <c r="K16" s="110" t="s">
        <v>133</v>
      </c>
      <c r="L16" s="110">
        <v>3363</v>
      </c>
    </row>
    <row r="17" spans="3:12" x14ac:dyDescent="0.35">
      <c r="C17" s="110" t="s">
        <v>125</v>
      </c>
      <c r="D17" s="110">
        <v>4322</v>
      </c>
      <c r="G17" s="110" t="s">
        <v>129</v>
      </c>
      <c r="H17" s="110">
        <v>2321</v>
      </c>
      <c r="K17" s="110" t="s">
        <v>134</v>
      </c>
      <c r="L17" s="110">
        <v>3160</v>
      </c>
    </row>
    <row r="18" spans="3:12" x14ac:dyDescent="0.35">
      <c r="C18" s="110" t="s">
        <v>126</v>
      </c>
      <c r="D18" s="110">
        <v>2092</v>
      </c>
      <c r="G18" s="110" t="s">
        <v>130</v>
      </c>
      <c r="H18" s="110">
        <v>1627</v>
      </c>
      <c r="K18" s="110" t="s">
        <v>135</v>
      </c>
      <c r="L18" s="110">
        <v>3050</v>
      </c>
    </row>
    <row r="19" spans="3:12" x14ac:dyDescent="0.35">
      <c r="C19" s="110"/>
      <c r="D19" s="110">
        <v>0</v>
      </c>
      <c r="G19" s="110" t="s">
        <v>131</v>
      </c>
      <c r="H19" s="110">
        <v>1510</v>
      </c>
      <c r="K19" s="110" t="s">
        <v>136</v>
      </c>
      <c r="L19" s="110">
        <v>1920</v>
      </c>
    </row>
    <row r="20" spans="3:12" x14ac:dyDescent="0.35">
      <c r="G20" s="110"/>
      <c r="H20" s="110">
        <v>0</v>
      </c>
      <c r="K20" s="110"/>
      <c r="L20" s="110">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BCD07-8783-4270-9EBD-E24297141565}">
  <sheetPr codeName="Sheet3"/>
  <dimension ref="C3:AA20"/>
  <sheetViews>
    <sheetView topLeftCell="B1" zoomScale="75" workbookViewId="0">
      <selection activeCell="H32" sqref="H32"/>
    </sheetView>
  </sheetViews>
  <sheetFormatPr defaultRowHeight="14.5" x14ac:dyDescent="0.35"/>
  <cols>
    <col min="3" max="3" width="3.90625" customWidth="1"/>
    <col min="4" max="4" width="0.54296875" customWidth="1"/>
    <col min="5" max="5" width="21.6328125" bestFit="1" customWidth="1"/>
    <col min="6" max="6" width="10.54296875" customWidth="1"/>
    <col min="7" max="7" width="5.6328125" customWidth="1"/>
    <col min="8" max="8" width="4.453125" customWidth="1"/>
    <col min="9" max="9" width="3.90625" customWidth="1"/>
    <col min="10" max="10" width="0.54296875" customWidth="1"/>
    <col min="11" max="11" width="21.6328125" bestFit="1" customWidth="1"/>
    <col min="12" max="12" width="10.54296875" customWidth="1"/>
    <col min="13" max="13" width="4.7265625" customWidth="1"/>
    <col min="14" max="14" width="3.90625" customWidth="1"/>
    <col min="15" max="15" width="0.54296875" customWidth="1"/>
    <col min="16" max="16" width="21.6328125" bestFit="1" customWidth="1"/>
    <col min="17" max="17" width="10.54296875" customWidth="1"/>
    <col min="18" max="18" width="4.1796875" customWidth="1"/>
    <col min="19" max="19" width="3.90625" customWidth="1"/>
    <col min="20" max="20" width="0.54296875" customWidth="1"/>
    <col min="21" max="21" width="21.6328125" bestFit="1" customWidth="1"/>
    <col min="22" max="22" width="10.54296875" customWidth="1"/>
    <col min="23" max="23" width="4.1796875" customWidth="1"/>
    <col min="24" max="24" width="3.90625" customWidth="1"/>
    <col min="25" max="25" width="0.54296875" customWidth="1"/>
    <col min="26" max="26" width="21.6328125" bestFit="1" customWidth="1"/>
    <col min="27" max="27" width="10.54296875" customWidth="1"/>
    <col min="29" max="29" width="9.453125" bestFit="1" customWidth="1"/>
    <col min="30" max="30" width="19.54296875" bestFit="1" customWidth="1"/>
    <col min="31" max="31" width="21.6328125" bestFit="1" customWidth="1"/>
    <col min="33" max="33" width="17.08984375" bestFit="1" customWidth="1"/>
  </cols>
  <sheetData>
    <row r="3" spans="3:27" x14ac:dyDescent="0.35">
      <c r="E3" t="s">
        <v>14</v>
      </c>
      <c r="K3" t="s">
        <v>16</v>
      </c>
      <c r="P3" t="s">
        <v>17</v>
      </c>
      <c r="U3" t="s">
        <v>18</v>
      </c>
      <c r="Z3" t="s">
        <v>19</v>
      </c>
    </row>
    <row r="5" spans="3:27" x14ac:dyDescent="0.35">
      <c r="E5" s="4" t="s">
        <v>15</v>
      </c>
      <c r="F5" s="4" t="s">
        <v>20</v>
      </c>
      <c r="G5" s="3"/>
      <c r="H5" s="3"/>
      <c r="K5" s="4" t="s">
        <v>15</v>
      </c>
      <c r="L5" s="4" t="s">
        <v>20</v>
      </c>
      <c r="P5" s="4" t="s">
        <v>15</v>
      </c>
      <c r="Q5" s="4" t="s">
        <v>20</v>
      </c>
      <c r="U5" s="4" t="s">
        <v>15</v>
      </c>
      <c r="V5" s="4" t="s">
        <v>20</v>
      </c>
      <c r="Z5" s="4" t="s">
        <v>15</v>
      </c>
      <c r="AA5" s="4" t="s">
        <v>20</v>
      </c>
    </row>
    <row r="6" spans="3:27" x14ac:dyDescent="0.35">
      <c r="C6" s="5"/>
      <c r="E6" s="4" t="s">
        <v>0</v>
      </c>
      <c r="F6" s="4">
        <v>2</v>
      </c>
      <c r="G6" s="3"/>
      <c r="H6" s="3"/>
      <c r="I6" s="5"/>
      <c r="K6" s="4" t="s">
        <v>0</v>
      </c>
      <c r="L6" s="4"/>
      <c r="N6" s="5"/>
      <c r="P6" s="4" t="s">
        <v>0</v>
      </c>
      <c r="Q6" s="4"/>
      <c r="S6" s="5"/>
      <c r="U6" s="4" t="s">
        <v>0</v>
      </c>
      <c r="V6" s="4"/>
      <c r="X6" s="5"/>
      <c r="Z6" s="4" t="s">
        <v>0</v>
      </c>
      <c r="AA6" s="4"/>
    </row>
    <row r="7" spans="3:27" x14ac:dyDescent="0.35">
      <c r="C7" s="6"/>
      <c r="E7" s="4" t="s">
        <v>1</v>
      </c>
      <c r="F7" s="4">
        <v>1</v>
      </c>
      <c r="G7" s="3"/>
      <c r="H7" s="3"/>
      <c r="I7" s="6"/>
      <c r="K7" s="4" t="s">
        <v>1</v>
      </c>
      <c r="L7" s="4"/>
      <c r="N7" s="6"/>
      <c r="P7" s="4" t="s">
        <v>1</v>
      </c>
      <c r="Q7" s="4"/>
      <c r="S7" s="6"/>
      <c r="U7" s="4" t="s">
        <v>1</v>
      </c>
      <c r="V7" s="4"/>
      <c r="X7" s="6"/>
      <c r="Z7" s="4" t="s">
        <v>1</v>
      </c>
      <c r="AA7" s="4"/>
    </row>
    <row r="8" spans="3:27" x14ac:dyDescent="0.35">
      <c r="C8" s="7"/>
      <c r="E8" s="4" t="s">
        <v>2</v>
      </c>
      <c r="F8" s="4"/>
      <c r="G8" s="3"/>
      <c r="H8" s="3"/>
      <c r="I8" s="7"/>
      <c r="K8" s="4" t="s">
        <v>2</v>
      </c>
      <c r="L8" s="4"/>
      <c r="N8" s="7"/>
      <c r="P8" s="4" t="s">
        <v>2</v>
      </c>
      <c r="Q8" s="4"/>
      <c r="S8" s="7"/>
      <c r="U8" s="4" t="s">
        <v>2</v>
      </c>
      <c r="V8" s="4"/>
      <c r="X8" s="7"/>
      <c r="Z8" s="4" t="s">
        <v>2</v>
      </c>
      <c r="AA8" s="4"/>
    </row>
    <row r="9" spans="3:27" x14ac:dyDescent="0.35">
      <c r="C9" s="8"/>
      <c r="E9" s="4" t="s">
        <v>3</v>
      </c>
      <c r="F9" s="4"/>
      <c r="G9" s="3"/>
      <c r="H9" s="3"/>
      <c r="I9" s="8"/>
      <c r="K9" s="4" t="s">
        <v>3</v>
      </c>
      <c r="L9" s="4"/>
      <c r="N9" s="8"/>
      <c r="P9" s="4" t="s">
        <v>3</v>
      </c>
      <c r="Q9" s="4"/>
      <c r="S9" s="8"/>
      <c r="U9" s="4" t="s">
        <v>3</v>
      </c>
      <c r="V9" s="4"/>
      <c r="X9" s="8"/>
      <c r="Z9" s="4" t="s">
        <v>3</v>
      </c>
      <c r="AA9" s="4"/>
    </row>
    <row r="10" spans="3:27" x14ac:dyDescent="0.35">
      <c r="C10" s="9"/>
      <c r="E10" s="4" t="s">
        <v>4</v>
      </c>
      <c r="F10" s="4"/>
      <c r="G10" s="3"/>
      <c r="H10" s="3"/>
      <c r="I10" s="9"/>
      <c r="K10" s="4" t="s">
        <v>4</v>
      </c>
      <c r="L10" s="4"/>
      <c r="N10" s="9"/>
      <c r="P10" s="4" t="s">
        <v>4</v>
      </c>
      <c r="Q10" s="4"/>
      <c r="S10" s="9"/>
      <c r="U10" s="4" t="s">
        <v>4</v>
      </c>
      <c r="V10" s="4"/>
      <c r="X10" s="9"/>
      <c r="Z10" s="4" t="s">
        <v>4</v>
      </c>
      <c r="AA10" s="4"/>
    </row>
    <row r="11" spans="3:27" x14ac:dyDescent="0.35">
      <c r="C11" s="10"/>
      <c r="E11" s="4" t="s">
        <v>5</v>
      </c>
      <c r="F11" s="4"/>
      <c r="G11" s="3"/>
      <c r="H11" s="3"/>
      <c r="I11" s="10"/>
      <c r="K11" s="4" t="s">
        <v>5</v>
      </c>
      <c r="L11" s="4"/>
      <c r="N11" s="10"/>
      <c r="P11" s="4" t="s">
        <v>5</v>
      </c>
      <c r="Q11" s="4"/>
      <c r="S11" s="10"/>
      <c r="U11" s="4" t="s">
        <v>5</v>
      </c>
      <c r="V11" s="4"/>
      <c r="X11" s="10"/>
      <c r="Z11" s="4" t="s">
        <v>5</v>
      </c>
      <c r="AA11" s="4"/>
    </row>
    <row r="12" spans="3:27" x14ac:dyDescent="0.35">
      <c r="C12" s="11"/>
      <c r="E12" s="4" t="s">
        <v>6</v>
      </c>
      <c r="F12" s="4"/>
      <c r="G12" s="3"/>
      <c r="H12" s="3"/>
      <c r="I12" s="11"/>
      <c r="K12" s="4" t="s">
        <v>6</v>
      </c>
      <c r="L12" s="4"/>
      <c r="N12" s="11"/>
      <c r="P12" s="4" t="s">
        <v>6</v>
      </c>
      <c r="Q12" s="4"/>
      <c r="S12" s="11"/>
      <c r="U12" s="4" t="s">
        <v>6</v>
      </c>
      <c r="V12" s="4"/>
      <c r="X12" s="11"/>
      <c r="Z12" s="4" t="s">
        <v>6</v>
      </c>
      <c r="AA12" s="4"/>
    </row>
    <row r="13" spans="3:27" x14ac:dyDescent="0.35">
      <c r="C13" s="12"/>
      <c r="E13" s="4" t="s">
        <v>7</v>
      </c>
      <c r="F13" s="4">
        <v>1</v>
      </c>
      <c r="G13" s="3"/>
      <c r="H13" s="3"/>
      <c r="I13" s="12"/>
      <c r="K13" s="4" t="s">
        <v>7</v>
      </c>
      <c r="L13" s="4"/>
      <c r="N13" s="12"/>
      <c r="P13" s="4" t="s">
        <v>7</v>
      </c>
      <c r="Q13" s="4"/>
      <c r="S13" s="12"/>
      <c r="U13" s="4" t="s">
        <v>7</v>
      </c>
      <c r="V13" s="4"/>
      <c r="X13" s="12"/>
      <c r="Z13" s="4" t="s">
        <v>7</v>
      </c>
      <c r="AA13" s="4"/>
    </row>
    <row r="14" spans="3:27" x14ac:dyDescent="0.35">
      <c r="C14" s="13"/>
      <c r="E14" s="4" t="s">
        <v>8</v>
      </c>
      <c r="F14" s="4">
        <v>2</v>
      </c>
      <c r="G14" s="3"/>
      <c r="H14" s="3"/>
      <c r="I14" s="13"/>
      <c r="K14" s="4" t="s">
        <v>8</v>
      </c>
      <c r="L14" s="4"/>
      <c r="N14" s="13"/>
      <c r="P14" s="4" t="s">
        <v>8</v>
      </c>
      <c r="Q14" s="4"/>
      <c r="S14" s="13"/>
      <c r="U14" s="4" t="s">
        <v>8</v>
      </c>
      <c r="V14" s="4"/>
      <c r="X14" s="13"/>
      <c r="Z14" s="4" t="s">
        <v>8</v>
      </c>
      <c r="AA14" s="4"/>
    </row>
    <row r="15" spans="3:27" x14ac:dyDescent="0.35">
      <c r="C15" s="14"/>
      <c r="E15" s="4" t="s">
        <v>9</v>
      </c>
      <c r="F15" s="4">
        <v>1</v>
      </c>
      <c r="G15" s="3"/>
      <c r="H15" s="3"/>
      <c r="I15" s="14"/>
      <c r="K15" s="4" t="s">
        <v>9</v>
      </c>
      <c r="L15" s="4"/>
      <c r="N15" s="14"/>
      <c r="P15" s="4" t="s">
        <v>9</v>
      </c>
      <c r="Q15" s="4"/>
      <c r="S15" s="14"/>
      <c r="U15" s="4" t="s">
        <v>9</v>
      </c>
      <c r="V15" s="4"/>
      <c r="X15" s="14"/>
      <c r="Z15" s="4" t="s">
        <v>9</v>
      </c>
      <c r="AA15" s="4"/>
    </row>
    <row r="16" spans="3:27" x14ac:dyDescent="0.35">
      <c r="C16" s="15"/>
      <c r="E16" s="4" t="s">
        <v>10</v>
      </c>
      <c r="F16" s="4">
        <v>1</v>
      </c>
      <c r="G16" s="3"/>
      <c r="H16" s="3"/>
      <c r="I16" s="15"/>
      <c r="K16" s="4" t="s">
        <v>10</v>
      </c>
      <c r="L16" s="4"/>
      <c r="N16" s="15"/>
      <c r="P16" s="4" t="s">
        <v>10</v>
      </c>
      <c r="Q16" s="4"/>
      <c r="S16" s="15"/>
      <c r="U16" s="4" t="s">
        <v>10</v>
      </c>
      <c r="V16" s="4"/>
      <c r="X16" s="15"/>
      <c r="Z16" s="4" t="s">
        <v>10</v>
      </c>
      <c r="AA16" s="4"/>
    </row>
    <row r="17" spans="3:27" x14ac:dyDescent="0.35">
      <c r="C17" s="16"/>
      <c r="E17" s="4" t="s">
        <v>11</v>
      </c>
      <c r="F17" s="4">
        <v>1</v>
      </c>
      <c r="G17" s="3"/>
      <c r="H17" s="3"/>
      <c r="I17" s="16"/>
      <c r="K17" s="4" t="s">
        <v>11</v>
      </c>
      <c r="L17" s="4"/>
      <c r="N17" s="16"/>
      <c r="P17" s="4" t="s">
        <v>11</v>
      </c>
      <c r="Q17" s="4"/>
      <c r="S17" s="16"/>
      <c r="U17" s="4" t="s">
        <v>11</v>
      </c>
      <c r="V17" s="4"/>
      <c r="X17" s="16"/>
      <c r="Z17" s="4" t="s">
        <v>11</v>
      </c>
      <c r="AA17" s="4"/>
    </row>
    <row r="18" spans="3:27" x14ac:dyDescent="0.35">
      <c r="C18" s="17"/>
      <c r="E18" s="4" t="s">
        <v>12</v>
      </c>
      <c r="F18" s="4">
        <v>5</v>
      </c>
      <c r="G18" s="3"/>
      <c r="H18" s="3"/>
      <c r="I18" s="17"/>
      <c r="K18" s="4" t="s">
        <v>12</v>
      </c>
      <c r="L18" s="4"/>
      <c r="N18" s="17"/>
      <c r="P18" s="4" t="s">
        <v>12</v>
      </c>
      <c r="Q18" s="4"/>
      <c r="S18" s="17"/>
      <c r="U18" s="4" t="s">
        <v>12</v>
      </c>
      <c r="V18" s="4"/>
      <c r="X18" s="17"/>
      <c r="Z18" s="4" t="s">
        <v>12</v>
      </c>
      <c r="AA18" s="4"/>
    </row>
    <row r="19" spans="3:27" x14ac:dyDescent="0.35">
      <c r="C19" s="18"/>
      <c r="E19" s="4" t="s">
        <v>13</v>
      </c>
      <c r="F19" s="4">
        <v>2</v>
      </c>
      <c r="G19" s="3"/>
      <c r="H19" s="3"/>
      <c r="I19" s="18"/>
      <c r="K19" s="4" t="s">
        <v>13</v>
      </c>
      <c r="L19" s="4"/>
      <c r="N19" s="18"/>
      <c r="P19" s="4" t="s">
        <v>13</v>
      </c>
      <c r="Q19" s="4"/>
      <c r="S19" s="18"/>
      <c r="U19" s="4" t="s">
        <v>13</v>
      </c>
      <c r="V19" s="4"/>
      <c r="X19" s="18"/>
      <c r="Z19" s="4" t="s">
        <v>13</v>
      </c>
      <c r="AA19" s="4"/>
    </row>
    <row r="20" spans="3:27" x14ac:dyDescent="0.35">
      <c r="E20" s="4"/>
      <c r="F20" s="4">
        <f>24-SUM(F6:F19)</f>
        <v>8</v>
      </c>
      <c r="G20" s="3"/>
    </row>
  </sheetData>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A7B2-C08D-47B5-8382-F736ED8F262F}">
  <sheetPr codeName="Sheet4"/>
  <dimension ref="A2:AE48"/>
  <sheetViews>
    <sheetView topLeftCell="A4" zoomScale="70" zoomScaleNormal="70" workbookViewId="0">
      <selection activeCell="H29" sqref="H29"/>
    </sheetView>
  </sheetViews>
  <sheetFormatPr defaultRowHeight="14.5" x14ac:dyDescent="0.35"/>
  <cols>
    <col min="3" max="3" width="8.7265625" style="1" customWidth="1"/>
    <col min="4" max="4" width="8.7265625" customWidth="1"/>
    <col min="6" max="6" width="11.26953125" bestFit="1" customWidth="1"/>
  </cols>
  <sheetData>
    <row r="2" spans="1:27" x14ac:dyDescent="0.35">
      <c r="C2"/>
      <c r="E2" t="s">
        <v>14</v>
      </c>
      <c r="K2" t="s">
        <v>16</v>
      </c>
      <c r="P2" t="s">
        <v>17</v>
      </c>
      <c r="U2" t="s">
        <v>18</v>
      </c>
      <c r="Z2" t="s">
        <v>19</v>
      </c>
    </row>
    <row r="3" spans="1:27" x14ac:dyDescent="0.35">
      <c r="C3"/>
    </row>
    <row r="4" spans="1:27" ht="15" thickBot="1" x14ac:dyDescent="0.4">
      <c r="C4"/>
      <c r="E4" s="4" t="s">
        <v>15</v>
      </c>
      <c r="F4" s="4" t="s">
        <v>20</v>
      </c>
      <c r="G4" s="3"/>
      <c r="H4" s="3"/>
      <c r="K4" s="4" t="s">
        <v>15</v>
      </c>
      <c r="L4" s="4" t="s">
        <v>20</v>
      </c>
      <c r="P4" s="4" t="s">
        <v>15</v>
      </c>
      <c r="Q4" s="4" t="s">
        <v>20</v>
      </c>
      <c r="U4" s="4" t="s">
        <v>15</v>
      </c>
      <c r="V4" s="4" t="s">
        <v>20</v>
      </c>
      <c r="Z4" s="4" t="s">
        <v>15</v>
      </c>
      <c r="AA4" s="4" t="s">
        <v>20</v>
      </c>
    </row>
    <row r="5" spans="1:27" x14ac:dyDescent="0.35">
      <c r="A5" s="227" t="s">
        <v>39</v>
      </c>
      <c r="B5" s="228"/>
      <c r="C5" s="5"/>
      <c r="E5" s="4" t="s">
        <v>0</v>
      </c>
      <c r="F5" s="4">
        <v>2</v>
      </c>
      <c r="G5" s="3"/>
      <c r="H5" s="3"/>
      <c r="I5" s="5"/>
      <c r="K5" s="4" t="s">
        <v>0</v>
      </c>
      <c r="L5" s="4"/>
      <c r="N5" s="5"/>
      <c r="P5" s="4" t="s">
        <v>0</v>
      </c>
      <c r="Q5" s="4"/>
      <c r="S5" s="5"/>
      <c r="U5" s="4" t="s">
        <v>0</v>
      </c>
      <c r="V5" s="4"/>
      <c r="X5" s="5"/>
      <c r="Z5" s="4" t="s">
        <v>0</v>
      </c>
      <c r="AA5" s="4"/>
    </row>
    <row r="6" spans="1:27" x14ac:dyDescent="0.35">
      <c r="A6" s="229"/>
      <c r="B6" s="230"/>
      <c r="C6" s="6"/>
      <c r="E6" s="4" t="s">
        <v>1</v>
      </c>
      <c r="F6" s="4">
        <v>1</v>
      </c>
      <c r="G6" s="3"/>
      <c r="H6" s="3"/>
      <c r="I6" s="6"/>
      <c r="K6" s="4" t="s">
        <v>1</v>
      </c>
      <c r="L6" s="4"/>
      <c r="N6" s="6"/>
      <c r="P6" s="4" t="s">
        <v>1</v>
      </c>
      <c r="Q6" s="4"/>
      <c r="S6" s="6"/>
      <c r="U6" s="4" t="s">
        <v>1</v>
      </c>
      <c r="V6" s="4"/>
      <c r="X6" s="6"/>
      <c r="Z6" s="4" t="s">
        <v>1</v>
      </c>
      <c r="AA6" s="4"/>
    </row>
    <row r="7" spans="1:27" ht="15" thickBot="1" x14ac:dyDescent="0.4">
      <c r="A7" s="231"/>
      <c r="B7" s="232"/>
      <c r="C7" s="7"/>
      <c r="E7" s="4" t="s">
        <v>2</v>
      </c>
      <c r="F7" s="4"/>
      <c r="G7" s="3"/>
      <c r="H7" s="3"/>
      <c r="I7" s="7"/>
      <c r="K7" s="4" t="s">
        <v>2</v>
      </c>
      <c r="L7" s="4"/>
      <c r="N7" s="7"/>
      <c r="P7" s="4" t="s">
        <v>2</v>
      </c>
      <c r="Q7" s="4"/>
      <c r="S7" s="7"/>
      <c r="U7" s="4" t="s">
        <v>2</v>
      </c>
      <c r="V7" s="4"/>
      <c r="X7" s="7"/>
      <c r="Z7" s="4" t="s">
        <v>2</v>
      </c>
      <c r="AA7" s="4"/>
    </row>
    <row r="8" spans="1:27" x14ac:dyDescent="0.35">
      <c r="C8" s="8"/>
      <c r="E8" s="4" t="s">
        <v>3</v>
      </c>
      <c r="F8" s="4"/>
      <c r="G8" s="3"/>
      <c r="H8" s="3"/>
      <c r="I8" s="8"/>
      <c r="K8" s="4" t="s">
        <v>3</v>
      </c>
      <c r="L8" s="4"/>
      <c r="N8" s="8"/>
      <c r="P8" s="4" t="s">
        <v>3</v>
      </c>
      <c r="Q8" s="4"/>
      <c r="S8" s="8"/>
      <c r="U8" s="4" t="s">
        <v>3</v>
      </c>
      <c r="V8" s="4"/>
      <c r="X8" s="8"/>
      <c r="Z8" s="4" t="s">
        <v>3</v>
      </c>
      <c r="AA8" s="4"/>
    </row>
    <row r="9" spans="1:27" x14ac:dyDescent="0.35">
      <c r="C9" s="9"/>
      <c r="E9" s="4" t="s">
        <v>4</v>
      </c>
      <c r="F9" s="4"/>
      <c r="G9" s="3"/>
      <c r="H9" s="3"/>
      <c r="I9" s="9"/>
      <c r="K9" s="4" t="s">
        <v>4</v>
      </c>
      <c r="L9" s="4"/>
      <c r="N9" s="9"/>
      <c r="P9" s="4" t="s">
        <v>4</v>
      </c>
      <c r="Q9" s="4"/>
      <c r="S9" s="9"/>
      <c r="U9" s="4" t="s">
        <v>4</v>
      </c>
      <c r="V9" s="4"/>
      <c r="X9" s="9"/>
      <c r="Z9" s="4" t="s">
        <v>4</v>
      </c>
      <c r="AA9" s="4"/>
    </row>
    <row r="10" spans="1:27" x14ac:dyDescent="0.35">
      <c r="C10" s="10"/>
      <c r="E10" s="4" t="s">
        <v>5</v>
      </c>
      <c r="F10" s="4"/>
      <c r="G10" s="3"/>
      <c r="H10" s="3"/>
      <c r="I10" s="10"/>
      <c r="K10" s="4" t="s">
        <v>5</v>
      </c>
      <c r="L10" s="4"/>
      <c r="N10" s="10"/>
      <c r="P10" s="4" t="s">
        <v>5</v>
      </c>
      <c r="Q10" s="4"/>
      <c r="S10" s="10"/>
      <c r="U10" s="4" t="s">
        <v>5</v>
      </c>
      <c r="V10" s="4"/>
      <c r="X10" s="10"/>
      <c r="Z10" s="4" t="s">
        <v>5</v>
      </c>
      <c r="AA10" s="4"/>
    </row>
    <row r="11" spans="1:27" x14ac:dyDescent="0.35">
      <c r="C11" s="11"/>
      <c r="E11" s="4" t="s">
        <v>6</v>
      </c>
      <c r="F11" s="4"/>
      <c r="G11" s="3"/>
      <c r="H11" s="3"/>
      <c r="I11" s="11"/>
      <c r="K11" s="4" t="s">
        <v>6</v>
      </c>
      <c r="L11" s="4"/>
      <c r="N11" s="11"/>
      <c r="P11" s="4" t="s">
        <v>6</v>
      </c>
      <c r="Q11" s="4"/>
      <c r="S11" s="11"/>
      <c r="U11" s="4" t="s">
        <v>6</v>
      </c>
      <c r="V11" s="4"/>
      <c r="X11" s="11"/>
      <c r="Z11" s="4" t="s">
        <v>6</v>
      </c>
      <c r="AA11" s="4"/>
    </row>
    <row r="12" spans="1:27" x14ac:dyDescent="0.35">
      <c r="C12" s="12"/>
      <c r="E12" s="4" t="s">
        <v>7</v>
      </c>
      <c r="F12" s="4">
        <v>1</v>
      </c>
      <c r="G12" s="3"/>
      <c r="H12" s="3"/>
      <c r="I12" s="12"/>
      <c r="K12" s="4" t="s">
        <v>7</v>
      </c>
      <c r="L12" s="4"/>
      <c r="N12" s="12"/>
      <c r="P12" s="4" t="s">
        <v>7</v>
      </c>
      <c r="Q12" s="4"/>
      <c r="S12" s="12"/>
      <c r="U12" s="4" t="s">
        <v>7</v>
      </c>
      <c r="V12" s="4"/>
      <c r="X12" s="12"/>
      <c r="Z12" s="4" t="s">
        <v>7</v>
      </c>
      <c r="AA12" s="4"/>
    </row>
    <row r="13" spans="1:27" x14ac:dyDescent="0.35">
      <c r="C13" s="13"/>
      <c r="E13" s="4" t="s">
        <v>8</v>
      </c>
      <c r="F13" s="4">
        <v>2</v>
      </c>
      <c r="G13" s="3"/>
      <c r="H13" s="3"/>
      <c r="I13" s="13"/>
      <c r="K13" s="4" t="s">
        <v>8</v>
      </c>
      <c r="L13" s="4"/>
      <c r="N13" s="13"/>
      <c r="P13" s="4" t="s">
        <v>8</v>
      </c>
      <c r="Q13" s="4"/>
      <c r="S13" s="13"/>
      <c r="U13" s="4" t="s">
        <v>8</v>
      </c>
      <c r="V13" s="4"/>
      <c r="X13" s="13"/>
      <c r="Z13" s="4" t="s">
        <v>8</v>
      </c>
      <c r="AA13" s="4"/>
    </row>
    <row r="14" spans="1:27" x14ac:dyDescent="0.35">
      <c r="C14" s="14"/>
      <c r="E14" s="4" t="s">
        <v>9</v>
      </c>
      <c r="F14" s="4">
        <v>1</v>
      </c>
      <c r="G14" s="3"/>
      <c r="H14" s="3"/>
      <c r="I14" s="14"/>
      <c r="K14" s="4" t="s">
        <v>9</v>
      </c>
      <c r="L14" s="4"/>
      <c r="N14" s="14"/>
      <c r="P14" s="4" t="s">
        <v>9</v>
      </c>
      <c r="Q14" s="4"/>
      <c r="S14" s="14"/>
      <c r="U14" s="4" t="s">
        <v>9</v>
      </c>
      <c r="V14" s="4"/>
      <c r="X14" s="14"/>
      <c r="Z14" s="4" t="s">
        <v>9</v>
      </c>
      <c r="AA14" s="4"/>
    </row>
    <row r="15" spans="1:27" x14ac:dyDescent="0.35">
      <c r="C15" s="15"/>
      <c r="E15" s="4" t="s">
        <v>10</v>
      </c>
      <c r="F15" s="4">
        <v>1</v>
      </c>
      <c r="G15" s="3"/>
      <c r="H15" s="3"/>
      <c r="I15" s="15"/>
      <c r="K15" s="4" t="s">
        <v>10</v>
      </c>
      <c r="L15" s="4"/>
      <c r="N15" s="15"/>
      <c r="P15" s="4" t="s">
        <v>10</v>
      </c>
      <c r="Q15" s="4"/>
      <c r="S15" s="15"/>
      <c r="U15" s="4" t="s">
        <v>10</v>
      </c>
      <c r="V15" s="4"/>
      <c r="X15" s="15"/>
      <c r="Z15" s="4" t="s">
        <v>10</v>
      </c>
      <c r="AA15" s="4"/>
    </row>
    <row r="16" spans="1:27" x14ac:dyDescent="0.35">
      <c r="C16" s="16"/>
      <c r="E16" s="4" t="s">
        <v>11</v>
      </c>
      <c r="F16" s="4">
        <v>1</v>
      </c>
      <c r="G16" s="3"/>
      <c r="H16" s="3"/>
      <c r="I16" s="16"/>
      <c r="K16" s="4" t="s">
        <v>11</v>
      </c>
      <c r="L16" s="4"/>
      <c r="N16" s="16"/>
      <c r="P16" s="4" t="s">
        <v>11</v>
      </c>
      <c r="Q16" s="4"/>
      <c r="S16" s="16"/>
      <c r="U16" s="4" t="s">
        <v>11</v>
      </c>
      <c r="V16" s="4"/>
      <c r="X16" s="16"/>
      <c r="Z16" s="4" t="s">
        <v>11</v>
      </c>
      <c r="AA16" s="4"/>
    </row>
    <row r="17" spans="1:31" x14ac:dyDescent="0.35">
      <c r="C17" s="17"/>
      <c r="E17" s="4" t="s">
        <v>12</v>
      </c>
      <c r="F17" s="4">
        <v>5</v>
      </c>
      <c r="G17" s="3"/>
      <c r="H17" s="3"/>
      <c r="I17" s="17"/>
      <c r="K17" s="4" t="s">
        <v>12</v>
      </c>
      <c r="L17" s="4"/>
      <c r="N17" s="17"/>
      <c r="P17" s="4" t="s">
        <v>12</v>
      </c>
      <c r="Q17" s="4"/>
      <c r="S17" s="17"/>
      <c r="U17" s="4" t="s">
        <v>12</v>
      </c>
      <c r="V17" s="4"/>
      <c r="X17" s="17"/>
      <c r="Z17" s="4" t="s">
        <v>12</v>
      </c>
      <c r="AA17" s="4"/>
    </row>
    <row r="18" spans="1:31" x14ac:dyDescent="0.35">
      <c r="C18" s="18"/>
      <c r="E18" s="4" t="s">
        <v>13</v>
      </c>
      <c r="F18" s="4">
        <v>2</v>
      </c>
      <c r="G18" s="3"/>
      <c r="H18" s="3"/>
      <c r="I18" s="18"/>
      <c r="K18" s="4" t="s">
        <v>13</v>
      </c>
      <c r="L18" s="4"/>
      <c r="N18" s="18"/>
      <c r="P18" s="4" t="s">
        <v>13</v>
      </c>
      <c r="Q18" s="4"/>
      <c r="S18" s="18"/>
      <c r="U18" s="4" t="s">
        <v>13</v>
      </c>
      <c r="V18" s="4"/>
      <c r="X18" s="18"/>
      <c r="Z18" s="4" t="s">
        <v>13</v>
      </c>
      <c r="AA18" s="4"/>
    </row>
    <row r="19" spans="1:31" x14ac:dyDescent="0.35">
      <c r="C19"/>
      <c r="E19" s="4"/>
      <c r="F19" s="4">
        <f>24-SUM(F5:F18)</f>
        <v>8</v>
      </c>
      <c r="G19" s="3"/>
    </row>
    <row r="21" spans="1:31" ht="15" thickBot="1" x14ac:dyDescent="0.4"/>
    <row r="22" spans="1:31" x14ac:dyDescent="0.35">
      <c r="A22" s="227" t="s">
        <v>37</v>
      </c>
      <c r="B22" s="228"/>
      <c r="C22" s="68"/>
      <c r="D22" s="234" t="s">
        <v>14</v>
      </c>
      <c r="E22" s="59"/>
      <c r="F22" s="60">
        <v>0.29166666666666669</v>
      </c>
      <c r="G22" s="60">
        <v>0.33333333333333298</v>
      </c>
      <c r="H22" s="60">
        <v>0.375</v>
      </c>
      <c r="I22" s="60">
        <v>0.41666666666666702</v>
      </c>
      <c r="J22" s="60">
        <v>0.45833333333333298</v>
      </c>
      <c r="K22" s="60">
        <v>0.5</v>
      </c>
      <c r="L22" s="60">
        <v>0.54166666666666696</v>
      </c>
      <c r="M22" s="60">
        <v>0.58333333333333304</v>
      </c>
      <c r="N22" s="60">
        <v>0.625</v>
      </c>
      <c r="O22" s="60">
        <v>0.66666666666666596</v>
      </c>
      <c r="P22" s="60">
        <v>0.70833333333333304</v>
      </c>
      <c r="Q22" s="60">
        <v>0.75</v>
      </c>
      <c r="R22" s="60">
        <v>0.79166666666666696</v>
      </c>
      <c r="S22" s="60">
        <v>0.83333333333333304</v>
      </c>
      <c r="T22" s="60">
        <v>0.875</v>
      </c>
      <c r="U22" s="60">
        <v>0.91666666666666696</v>
      </c>
      <c r="V22" s="60">
        <v>0.95833333333333304</v>
      </c>
      <c r="W22" s="60">
        <v>1</v>
      </c>
      <c r="X22" s="60">
        <v>1.0416666666666701</v>
      </c>
      <c r="Y22" s="60">
        <v>1.0833333333333299</v>
      </c>
      <c r="Z22" s="60">
        <v>1.125</v>
      </c>
      <c r="AA22" s="60">
        <v>1.1666666666666701</v>
      </c>
      <c r="AB22" s="60">
        <v>1.2083333333333399</v>
      </c>
      <c r="AC22" s="60">
        <v>1.25</v>
      </c>
      <c r="AD22" s="60">
        <v>1.2916666666666701</v>
      </c>
      <c r="AE22" s="58"/>
    </row>
    <row r="23" spans="1:31" x14ac:dyDescent="0.35">
      <c r="A23" s="229"/>
      <c r="B23" s="230"/>
      <c r="C23" s="68"/>
      <c r="D23" s="234"/>
      <c r="E23" s="61" t="s">
        <v>33</v>
      </c>
      <c r="F23" s="62">
        <v>0.753</v>
      </c>
      <c r="G23" s="63">
        <v>0.85799999999999998</v>
      </c>
      <c r="H23" s="63">
        <v>0.746</v>
      </c>
      <c r="I23" s="63">
        <v>0.56699999999999995</v>
      </c>
      <c r="J23" s="63">
        <v>0.58799999999999997</v>
      </c>
      <c r="K23" s="63">
        <v>0.63700000000000001</v>
      </c>
      <c r="L23" s="63">
        <v>0.77500000000000002</v>
      </c>
      <c r="M23" s="63">
        <v>0.85</v>
      </c>
      <c r="N23" s="63">
        <v>0.9</v>
      </c>
      <c r="O23" s="63">
        <v>0.93</v>
      </c>
      <c r="P23" s="63">
        <v>0.87</v>
      </c>
      <c r="Q23" s="63">
        <v>0.76700000000000002</v>
      </c>
      <c r="R23" s="63">
        <v>0.28000000000000003</v>
      </c>
      <c r="S23" s="63">
        <v>0.34</v>
      </c>
      <c r="T23" s="63">
        <v>0.76700000000000002</v>
      </c>
      <c r="U23" s="63">
        <v>0.32</v>
      </c>
      <c r="V23" s="63">
        <v>0.34</v>
      </c>
      <c r="W23" s="63">
        <v>0.56000000000000005</v>
      </c>
      <c r="X23" s="63">
        <v>0.33</v>
      </c>
      <c r="Y23" s="63">
        <v>0.54</v>
      </c>
      <c r="Z23" s="63">
        <v>0.76</v>
      </c>
      <c r="AA23" s="63">
        <v>0.89</v>
      </c>
      <c r="AB23" s="63">
        <v>0.45</v>
      </c>
      <c r="AC23" s="63">
        <v>0.23</v>
      </c>
      <c r="AD23" s="63">
        <v>0.4</v>
      </c>
      <c r="AE23" s="58"/>
    </row>
    <row r="24" spans="1:31" ht="15" thickBot="1" x14ac:dyDescent="0.4">
      <c r="A24" s="231"/>
      <c r="B24" s="232"/>
      <c r="C24" s="68"/>
      <c r="D24" s="234"/>
      <c r="E24" s="64" t="s">
        <v>34</v>
      </c>
      <c r="F24" s="65">
        <v>0.8</v>
      </c>
      <c r="G24" s="65">
        <v>0.8</v>
      </c>
      <c r="H24" s="65">
        <v>0.8</v>
      </c>
      <c r="I24" s="65">
        <v>0.8</v>
      </c>
      <c r="J24" s="65">
        <v>0.8</v>
      </c>
      <c r="K24" s="65">
        <v>0.8</v>
      </c>
      <c r="L24" s="65">
        <v>0.8</v>
      </c>
      <c r="M24" s="65">
        <v>0.8</v>
      </c>
      <c r="N24" s="65">
        <v>0.8</v>
      </c>
      <c r="O24" s="65">
        <v>0.8</v>
      </c>
      <c r="P24" s="65">
        <v>0.8</v>
      </c>
      <c r="Q24" s="65">
        <v>0.8</v>
      </c>
      <c r="R24" s="65">
        <v>0.8</v>
      </c>
      <c r="S24" s="65">
        <v>0.8</v>
      </c>
      <c r="T24" s="65">
        <v>0.8</v>
      </c>
      <c r="U24" s="65">
        <v>0.8</v>
      </c>
      <c r="V24" s="65">
        <v>0.8</v>
      </c>
      <c r="W24" s="65">
        <v>0.8</v>
      </c>
      <c r="X24" s="65">
        <v>0.8</v>
      </c>
      <c r="Y24" s="65">
        <v>0.8</v>
      </c>
      <c r="Z24" s="65">
        <v>0.8</v>
      </c>
      <c r="AA24" s="65">
        <v>0.8</v>
      </c>
      <c r="AB24" s="65">
        <v>0.8</v>
      </c>
      <c r="AC24" s="65">
        <v>0.8</v>
      </c>
      <c r="AD24" s="65">
        <v>0.8</v>
      </c>
      <c r="AE24" s="58"/>
    </row>
    <row r="26" spans="1:31" x14ac:dyDescent="0.35">
      <c r="F26" t="s">
        <v>14</v>
      </c>
    </row>
    <row r="28" spans="1:31" ht="15" thickBot="1" x14ac:dyDescent="0.4">
      <c r="A28" s="67"/>
      <c r="B28" s="67"/>
      <c r="C28" s="69"/>
    </row>
    <row r="29" spans="1:31" x14ac:dyDescent="0.35">
      <c r="A29" s="227" t="s">
        <v>38</v>
      </c>
      <c r="B29" s="228"/>
      <c r="C29" s="68"/>
      <c r="F29" s="4" t="s">
        <v>35</v>
      </c>
      <c r="G29" s="66">
        <v>0.85</v>
      </c>
    </row>
    <row r="30" spans="1:31" ht="15" thickBot="1" x14ac:dyDescent="0.4">
      <c r="A30" s="231"/>
      <c r="B30" s="232"/>
      <c r="C30" s="68"/>
      <c r="F30" s="4" t="s">
        <v>36</v>
      </c>
      <c r="G30" s="66">
        <v>0.55000000000000004</v>
      </c>
    </row>
    <row r="31" spans="1:31" x14ac:dyDescent="0.35">
      <c r="A31" s="67"/>
      <c r="B31" s="67"/>
      <c r="C31" s="69"/>
    </row>
    <row r="32" spans="1:31" x14ac:dyDescent="0.35">
      <c r="A32" s="67"/>
      <c r="B32" s="67"/>
      <c r="C32" s="69"/>
    </row>
    <row r="33" spans="1:18" ht="15" thickBot="1" x14ac:dyDescent="0.4">
      <c r="A33" s="67"/>
      <c r="B33" s="67"/>
      <c r="C33" s="69"/>
    </row>
    <row r="34" spans="1:18" x14ac:dyDescent="0.35">
      <c r="A34" s="227" t="s">
        <v>40</v>
      </c>
      <c r="B34" s="228"/>
      <c r="C34" s="68"/>
      <c r="E34" s="233" t="s">
        <v>52</v>
      </c>
      <c r="F34" s="233"/>
      <c r="H34" t="s">
        <v>41</v>
      </c>
      <c r="I34" t="s">
        <v>42</v>
      </c>
      <c r="J34" t="s">
        <v>43</v>
      </c>
      <c r="K34" t="s">
        <v>44</v>
      </c>
      <c r="L34" t="s">
        <v>45</v>
      </c>
      <c r="M34" t="s">
        <v>46</v>
      </c>
      <c r="N34" t="s">
        <v>47</v>
      </c>
      <c r="O34" t="s">
        <v>48</v>
      </c>
      <c r="P34" t="s">
        <v>49</v>
      </c>
      <c r="Q34" t="s">
        <v>50</v>
      </c>
      <c r="R34" t="s">
        <v>51</v>
      </c>
    </row>
    <row r="35" spans="1:18" ht="15" thickBot="1" x14ac:dyDescent="0.4">
      <c r="A35" s="231"/>
      <c r="B35" s="232"/>
      <c r="C35" s="68"/>
      <c r="E35" s="233"/>
      <c r="F35" s="233"/>
      <c r="H35" s="70">
        <v>8.4606481481481494E-3</v>
      </c>
      <c r="I35" s="70">
        <v>5.0254629629629628E-2</v>
      </c>
      <c r="J35" s="70">
        <v>9.1921296296296306E-2</v>
      </c>
      <c r="K35" s="70">
        <v>0.13358796296296299</v>
      </c>
      <c r="L35" s="70">
        <v>0.17525462962963001</v>
      </c>
      <c r="M35" s="70">
        <v>0.216921296296296</v>
      </c>
      <c r="N35" s="70">
        <v>0.25858796296296299</v>
      </c>
      <c r="O35" s="70">
        <v>0.30025462962963001</v>
      </c>
      <c r="P35" s="70">
        <v>0.34192129629629597</v>
      </c>
      <c r="Q35" s="70">
        <v>0.38358796296296299</v>
      </c>
      <c r="R35" s="70">
        <v>0.42525462962963001</v>
      </c>
    </row>
    <row r="36" spans="1:18" x14ac:dyDescent="0.35">
      <c r="A36" s="67"/>
      <c r="B36" s="67"/>
      <c r="C36" s="69"/>
      <c r="F36" s="70"/>
    </row>
    <row r="37" spans="1:18" x14ac:dyDescent="0.35">
      <c r="A37" s="67"/>
      <c r="B37" s="67"/>
      <c r="C37" s="69"/>
      <c r="F37" s="70"/>
    </row>
    <row r="38" spans="1:18" x14ac:dyDescent="0.35">
      <c r="F38" s="70"/>
    </row>
    <row r="39" spans="1:18" x14ac:dyDescent="0.35">
      <c r="F39" s="70"/>
    </row>
    <row r="40" spans="1:18" ht="14.5" customHeight="1" x14ac:dyDescent="0.35">
      <c r="E40" s="233" t="s">
        <v>53</v>
      </c>
      <c r="F40" s="233"/>
      <c r="H40" t="s">
        <v>41</v>
      </c>
      <c r="I40" t="s">
        <v>42</v>
      </c>
      <c r="J40" t="s">
        <v>43</v>
      </c>
      <c r="K40" t="s">
        <v>44</v>
      </c>
      <c r="L40" t="s">
        <v>45</v>
      </c>
      <c r="M40" t="s">
        <v>46</v>
      </c>
      <c r="N40" t="s">
        <v>47</v>
      </c>
      <c r="O40" t="s">
        <v>48</v>
      </c>
      <c r="P40" t="s">
        <v>49</v>
      </c>
      <c r="Q40" t="s">
        <v>50</v>
      </c>
      <c r="R40" t="s">
        <v>51</v>
      </c>
    </row>
    <row r="41" spans="1:18" x14ac:dyDescent="0.35">
      <c r="E41" s="233"/>
      <c r="F41" s="233"/>
      <c r="H41" s="71">
        <v>1</v>
      </c>
      <c r="I41" s="71">
        <v>2</v>
      </c>
      <c r="J41" s="71">
        <v>4</v>
      </c>
      <c r="K41" s="71">
        <v>3</v>
      </c>
      <c r="L41" s="71">
        <v>2</v>
      </c>
      <c r="M41" s="71">
        <v>6</v>
      </c>
      <c r="N41" s="71">
        <v>1</v>
      </c>
      <c r="O41" s="71">
        <v>8</v>
      </c>
      <c r="P41" s="71">
        <v>9</v>
      </c>
      <c r="Q41" s="71">
        <v>12</v>
      </c>
      <c r="R41" s="71">
        <v>1</v>
      </c>
    </row>
    <row r="42" spans="1:18" x14ac:dyDescent="0.35">
      <c r="F42" s="70"/>
    </row>
    <row r="43" spans="1:18" ht="15" thickBot="1" x14ac:dyDescent="0.4">
      <c r="F43" s="70"/>
    </row>
    <row r="44" spans="1:18" x14ac:dyDescent="0.35">
      <c r="A44" s="227" t="s">
        <v>40</v>
      </c>
      <c r="B44" s="228"/>
    </row>
    <row r="45" spans="1:18" ht="15" thickBot="1" x14ac:dyDescent="0.4">
      <c r="A45" s="231"/>
      <c r="B45" s="232"/>
    </row>
    <row r="46" spans="1:18" x14ac:dyDescent="0.35">
      <c r="F46" s="4" t="s">
        <v>54</v>
      </c>
      <c r="G46" s="72">
        <v>0.85</v>
      </c>
    </row>
    <row r="47" spans="1:18" x14ac:dyDescent="0.35">
      <c r="F47" s="4" t="s">
        <v>55</v>
      </c>
      <c r="G47" s="72">
        <v>0.55000000000000004</v>
      </c>
    </row>
    <row r="48" spans="1:18" x14ac:dyDescent="0.35">
      <c r="F48" s="4" t="s">
        <v>56</v>
      </c>
      <c r="G48" s="72">
        <v>0.16666666666666666</v>
      </c>
    </row>
  </sheetData>
  <mergeCells count="8">
    <mergeCell ref="A5:B7"/>
    <mergeCell ref="E34:F35"/>
    <mergeCell ref="E40:F41"/>
    <mergeCell ref="A44:B45"/>
    <mergeCell ref="D22:D24"/>
    <mergeCell ref="A22:B24"/>
    <mergeCell ref="A29:B30"/>
    <mergeCell ref="A34:B35"/>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eca62b84-eed0-4106-b018-a92841deed6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9AE92F56736214E9258E35B032A4525" ma:contentTypeVersion="16" ma:contentTypeDescription="Create a new document." ma:contentTypeScope="" ma:versionID="95df95197b2b530c0b83e1312b029810">
  <xsd:schema xmlns:xsd="http://www.w3.org/2001/XMLSchema" xmlns:xs="http://www.w3.org/2001/XMLSchema" xmlns:p="http://schemas.microsoft.com/office/2006/metadata/properties" xmlns:ns3="39948c0e-4c37-4f11-85cf-bc81f86fe5a4" xmlns:ns4="eca62b84-eed0-4106-b018-a92841deed6b" targetNamespace="http://schemas.microsoft.com/office/2006/metadata/properties" ma:root="true" ma:fieldsID="65f5f6bbc2a58eeb811028bb12750b4b" ns3:_="" ns4:_="">
    <xsd:import namespace="39948c0e-4c37-4f11-85cf-bc81f86fe5a4"/>
    <xsd:import namespace="eca62b84-eed0-4106-b018-a92841deed6b"/>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LengthInSeconds" minOccurs="0"/>
                <xsd:element ref="ns4:MediaServiceAutoKeyPoints" minOccurs="0"/>
                <xsd:element ref="ns4:MediaServiceKeyPoints" minOccurs="0"/>
                <xsd:element ref="ns4:MediaServiceAutoTags" minOccurs="0"/>
                <xsd:element ref="ns4:MediaServiceOCR" minOccurs="0"/>
                <xsd:element ref="ns4:MediaServiceGenerationTime" minOccurs="0"/>
                <xsd:element ref="ns4:MediaServiceEventHashCode" minOccurs="0"/>
                <xsd:element ref="ns4:MediaServiceLocation" minOccurs="0"/>
                <xsd:element ref="ns4:MediaServiceSearchProperties"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948c0e-4c37-4f11-85cf-bc81f86fe5a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a62b84-eed0-4106-b018-a92841deed6b"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LengthInSeconds" ma:index="14" nillable="true" ma:displayName="Length (seconds)"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Location" ma:index="21" nillable="true" ma:displayName="Location"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_activity" ma:index="23"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8F6B25-9793-4C39-B2B9-EA4A56023F85}">
  <ds:schemaRefs>
    <ds:schemaRef ds:uri="http://schemas.microsoft.com/office/2006/documentManagement/types"/>
    <ds:schemaRef ds:uri="http://purl.org/dc/elements/1.1/"/>
    <ds:schemaRef ds:uri="http://schemas.microsoft.com/office/2006/metadata/properties"/>
    <ds:schemaRef ds:uri="39948c0e-4c37-4f11-85cf-bc81f86fe5a4"/>
    <ds:schemaRef ds:uri="http://schemas.microsoft.com/office/infopath/2007/PartnerControls"/>
    <ds:schemaRef ds:uri="http://purl.org/dc/terms/"/>
    <ds:schemaRef ds:uri="eca62b84-eed0-4106-b018-a92841deed6b"/>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8D9BB151-0294-4E42-AFB0-EE67515AAE85}">
  <ds:schemaRefs>
    <ds:schemaRef ds:uri="http://schemas.microsoft.com/sharepoint/v3/contenttype/forms"/>
  </ds:schemaRefs>
</ds:datastoreItem>
</file>

<file path=customXml/itemProps3.xml><?xml version="1.0" encoding="utf-8"?>
<ds:datastoreItem xmlns:ds="http://schemas.openxmlformats.org/officeDocument/2006/customXml" ds:itemID="{C510DFCA-FA86-495B-9890-900A168C35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948c0e-4c37-4f11-85cf-bc81f86fe5a4"/>
    <ds:schemaRef ds:uri="eca62b84-eed0-4106-b018-a92841deed6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Company</vt:lpstr>
      <vt:lpstr>Overall</vt:lpstr>
      <vt:lpstr>Page#1</vt:lpstr>
      <vt:lpstr>Page#2</vt:lpstr>
      <vt:lpstr>Overall Graphs</vt:lpstr>
      <vt:lpstr>Utilization</vt:lpstr>
      <vt:lpstr>Hourly Graph and Eff</vt:lpstr>
      <vt:lpstr>CompanyLogo</vt:lpstr>
      <vt:lpstr>CompanyName</vt:lpstr>
      <vt:lpstr>Overall!DateRapport</vt:lpstr>
      <vt:lpstr>Overall!Réunion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Mostafa Ahmed Shalaby</dc:creator>
  <cp:lastModifiedBy>Mostafa Ahmed Shalaby</cp:lastModifiedBy>
  <cp:lastPrinted>2023-01-23T05:45:34Z</cp:lastPrinted>
  <dcterms:created xsi:type="dcterms:W3CDTF">2022-11-03T10:06:27Z</dcterms:created>
  <dcterms:modified xsi:type="dcterms:W3CDTF">2023-02-23T07:27:57Z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0x01010049AE92F56736214E9258E35B032A4525</vt:lpwstr>
  </property>
</Properties>
</file>